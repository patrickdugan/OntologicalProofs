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b20e94fd0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b90a9495204649"/>
    <x:sheet xmlns:r="http://schemas.openxmlformats.org/officeDocument/2006/relationships" name="96-case registry" sheetId="2" r:id="R6c7e98b1a1d342ba"/>
    <x:sheet xmlns:r="http://schemas.openxmlformats.org/officeDocument/2006/relationships" name="Focused re-audit" sheetId="3" r:id="R8e43163634bd4895"/>
    <x:sheet xmlns:r="http://schemas.openxmlformats.org/officeDocument/2006/relationships" name="Method and cautions" sheetId="4" r:id="Rbaa281ddff3c4a96"/>
    <x:sheet xmlns:r="http://schemas.openxmlformats.org/officeDocument/2006/relationships" name="v07 deep audit" sheetId="5" r:id="R41df93fc5f69459f"/>
    <x:sheet xmlns:r="http://schemas.openxmlformats.org/officeDocument/2006/relationships" name="v07 formal tests" sheetId="6" r:id="R4ff223f511b44a3b"/>
    <x:sheet xmlns:r="http://schemas.openxmlformats.org/officeDocument/2006/relationships" name="v07 sources" sheetId="7" r:id="Ra553ea00eee34ca6"/>
    <x:sheet xmlns:r="http://schemas.openxmlformats.org/officeDocument/2006/relationships" name="v07 rubric" sheetId="8" r:id="Re7bf3bb2d67c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5D6977"/>
      <x:name val="Carlito"/>
    </x:font>
    <x:font>
      <x:b/>
      <x:sz val="11"/>
      <x:name val="Carlito"/>
    </x:font>
    <x:font>
      <x:sz val="11"/>
      <x:color rgb="FF206E8F"/>
      <x:name val="Carlito"/>
    </x:font>
    <x:font>
      <x:b/>
      <x:sz val="11"/>
      <x:color rgb="FF206E8F"/>
      <x:name val="Carlito"/>
    </x:font>
    <x:font>
      <x:sz val="11"/>
      <x:color rgb="FF136F5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83E"/>
      </x:patternFill>
    </x:fill>
    <x:fill>
      <x:patternFill patternType="solid">
        <x:fgColor rgb="FFD9F0EE"/>
      </x:patternFill>
    </x:fill>
    <x:fill>
      <x:patternFill patternType="solid">
        <x:fgColor rgb="FFE9EEF4"/>
      </x:patternFill>
    </x:fill>
    <x:fill>
      <x:patternFill patternType="solid">
        <x:fgColor rgb="FF17324B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aa087eeeb467f" /><Relationship Type="http://schemas.openxmlformats.org/officeDocument/2006/relationships/theme" Target="/xl/theme/theme1.xml" Id="R9ca9be21d9a94fd8" /><Relationship Type="http://schemas.openxmlformats.org/officeDocument/2006/relationships/sharedStrings" Target="/xl/sharedStrings.xml" Id="Ra32ac9b444a148e6" /><Relationship Type="http://schemas.openxmlformats.org/officeDocument/2006/relationships/worksheet" Target="/xl/worksheets/sheet1.xml" Id="R1db90a9495204649" /><Relationship Type="http://schemas.openxmlformats.org/officeDocument/2006/relationships/worksheet" Target="/xl/worksheets/sheet2.xml" Id="R6c7e98b1a1d342ba" /><Relationship Type="http://schemas.openxmlformats.org/officeDocument/2006/relationships/worksheet" Target="/xl/worksheets/sheet3.xml" Id="R8e43163634bd4895" /><Relationship Type="http://schemas.openxmlformats.org/officeDocument/2006/relationships/worksheet" Target="/xl/worksheets/sheet4.xml" Id="Rbaa281ddff3c4a96" /><Relationship Type="http://schemas.openxmlformats.org/officeDocument/2006/relationships/worksheet" Target="/xl/worksheets/sheet5.xml" Id="R41df93fc5f69459f" /><Relationship Type="http://schemas.openxmlformats.org/officeDocument/2006/relationships/worksheet" Target="/xl/worksheets/sheet6.xml" Id="R4ff223f511b44a3b" /><Relationship Type="http://schemas.openxmlformats.org/officeDocument/2006/relationships/worksheet" Target="/xl/worksheets/sheet7.xml" Id="Ra553ea00eee34ca6" /><Relationship Type="http://schemas.openxmlformats.org/officeDocument/2006/relationships/worksheet" Target="/xl/worksheets/sheet8.xml" Id="Re7bf3bb2d67c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19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25" customHeight="1">
      <x:c r="A1" s="11" t="str">
        <x:v>QUR'ANIC IKHTILĀF  |  COST OF INTERPRETATION</x:v>
      </x:c>
      <x:c r="B1" s="11"/>
      <x:c r="C1" s="11"/>
      <x:c r="D1" s="11"/>
      <x:c r="E1" s="11"/>
      <x:c r="F1" s="11"/>
    </x:row>
    <x:row r="2" ht="25" customHeight="1">
      <x:c r="A2" s="11"/>
      <x:c r="B2" s="11"/>
      <x:c r="C2" s="11"/>
      <x:c r="D2" s="11"/>
      <x:c r="E2" s="11"/>
      <x:c r="F2" s="11"/>
    </x:row>
    <x:row r="3" ht="23" customHeight="1">
      <x:c r="A3" s="14" t="str">
        <x:v>Version 0.6 · 24 October 2026 · Provisional reclassification of 9 cases</x:v>
      </x:c>
      <x:c r="B3" s="14" t="str"/>
      <x:c r="C3" s="14" t="str"/>
      <x:c r="D3" s="14" t="str"/>
      <x:c r="E3" s="14" t="str"/>
      <x:c r="F3" s="14" t="str"/>
    </x:row>
    <x:row r="5" ht="32" customHeight="1">
      <x:c r="A5" s="6" t="str">
        <x:v>Interpretive route</x:v>
      </x:c>
      <x:c r="B5" s="6" t="str">
        <x:v>Original v0.5</x:v>
      </x:c>
      <x:c r="C5" s="6" t="str">
        <x:v>Provisional v0.6</x:v>
      </x:c>
    </x:row>
    <x:row r="6">
      <x:c r="A6" t="str">
        <x:v>S — Local syntax</x:v>
      </x:c>
      <x:c r="B6" s="30" t="n">
        <x:f>COUNTIF('96-case registry'!$D$2:$D$97,"S")</x:f>
        <x:v>15</x:v>
      </x:c>
      <x:c r="C6" s="30" t="n">
        <x:f>COUNTIF('96-case registry'!$E$2:$E$97,"S")</x:f>
        <x:v>16</x:v>
      </x:c>
    </x:row>
    <x:row r="7">
      <x:c r="A7" t="str">
        <x:v>Q — Qur'an-to-Qur'an</x:v>
      </x:c>
      <x:c r="B7" s="30" t="n">
        <x:f>COUNTIF('96-case registry'!$D$2:$D$97,"Q")</x:f>
        <x:v>35</x:v>
      </x:c>
      <x:c r="C7" s="30" t="n">
        <x:f>COUNTIF('96-case registry'!$E$2:$E$97,"Q")</x:f>
        <x:v>43</x:v>
      </x:c>
    </x:row>
    <x:row r="8">
      <x:c r="A8" t="str">
        <x:v>L — Lexical / pragmatic</x:v>
      </x:c>
      <x:c r="B8" s="30" t="n">
        <x:f>COUNTIF('96-case registry'!$D$2:$D$97,"L")</x:f>
        <x:v>21</x:v>
      </x:c>
      <x:c r="C8" s="30" t="n">
        <x:f>COUNTIF('96-case registry'!$E$2:$E$97,"L")</x:f>
        <x:v>21</x:v>
      </x:c>
    </x:row>
    <x:row r="9">
      <x:c r="A9" t="str">
        <x:v>T — Extra-Q tafsīr premise</x:v>
      </x:c>
      <x:c r="B9" s="30" t="n">
        <x:f>COUNTIF('96-case registry'!$D$2:$D$97,"T")</x:f>
        <x:v>7</x:v>
      </x:c>
      <x:c r="C9" s="30" t="n">
        <x:f>COUNTIF('96-case registry'!$E$2:$E$97,"T")</x:f>
        <x:v>0</x:v>
      </x:c>
    </x:row>
    <x:row r="10">
      <x:c r="A10" t="str">
        <x:v>U — Underdetermined</x:v>
      </x:c>
      <x:c r="B10" s="30" t="n">
        <x:f>COUNTIF('96-case registry'!$D$2:$D$97,"U")</x:f>
        <x:v>18</x:v>
      </x:c>
      <x:c r="C10" s="30" t="n">
        <x:f>COUNTIF('96-case registry'!$E$2:$E$97,"U")</x:f>
        <x:v>16</x:v>
      </x:c>
    </x:row>
    <x:row r="11" ht="24" customHeight="1">
      <x:c r="A11" s="17" t="str">
        <x:v>TOTAL CLUSTERS</x:v>
      </x:c>
      <x:c r="B11" s="32" t="n">
        <x:f>SUM(B6:B10)</x:f>
        <x:v>96</x:v>
      </x:c>
      <x:c r="C11" s="32" t="n">
        <x:f>SUM(C6:C10)</x:f>
        <x:v>96</x:v>
      </x:c>
    </x:row>
    <x:row r="13" ht="25" customHeight="1">
      <x:c r="A13" s="20" t="str">
        <x:v>No sectarian extra-text needed to propose a coherent model</x:v>
      </x:c>
      <x:c r="B13" s="20" t="n">
        <x:f>SUM(B6:B8)</x:f>
        <x:v>71</x:v>
      </x:c>
      <x:c r="C13" s="20" t="n">
        <x:f>SUM(C6:C8)</x:f>
        <x:v>80</x:v>
      </x:c>
    </x:row>
    <x:row r="14" ht="25" customHeight="1">
      <x:c r="A14" s="20" t="str">
        <x:v>Share of 96 clusters (provisional)</x:v>
      </x:c>
      <x:c r="B14" s="21" t="n">
        <x:f>B13/B11</x:f>
        <x:v>0.7395833333333334</x:v>
      </x:c>
      <x:c r="C14" s="21" t="n">
        <x:f>C13/C11</x:f>
        <x:v>0.8333333333333334</x:v>
      </x:c>
    </x:row>
    <x:row r="17" ht="23" customHeight="1">
      <x:c r="A17" s="5" t="str">
        <x:v>WHAT THIS MEASURES</x:v>
      </x:c>
      <x:c r="B17" s="5" t="str"/>
      <x:c r="C17" s="5" t="str"/>
      <x:c r="D17" s="5" t="str"/>
      <x:c r="E17" s="5" t="str"/>
      <x:c r="F17" s="5" t="str"/>
    </x:row>
    <x:row r="18" ht="25" customHeight="1">
      <x:c r="A18" s="25" t="str">
        <x:v>Coherence only: these counts measure whether an admissible reading can avoid a contradiction. They do not establish the author's intended reading, historical truth, or completeness of the law. Nine changes are argued in the focused audit; untouched rows retain v0.5 provisional classifications.</x:v>
      </x:c>
      <x:c r="B18" s="25"/>
      <x:c r="C18" s="25"/>
      <x:c r="D18" s="25"/>
      <x:c r="E18" s="25"/>
      <x:c r="F18" s="25"/>
    </x:row>
    <x:row r="19" ht="25" customHeight="1">
      <x:c r="A19" s="25"/>
      <x:c r="B19" s="25"/>
      <x:c r="C19" s="25"/>
      <x:c r="D19" s="25"/>
      <x:c r="E19" s="25"/>
      <x:c r="F19" s="25"/>
    </x:row>
    <x:row r="20" ht="25" customHeight="1">
      <x:c r="A20" s="25"/>
      <x:c r="B20" s="25"/>
      <x:c r="C20" s="25"/>
      <x:c r="D20" s="25"/>
      <x:c r="E20" s="25"/>
      <x:c r="F20" s="25"/>
    </x:row>
    <x:row r="22" ht="25" customHeight="1">
      <x:c r="A22" s="25" t="str">
        <x:v>Important: 0 in the extra-Q tafsīr column would mean that none of the 96 *need* an extra-textual report merely to build one consistency model under this provisional coding. Historical identification, juristic rules and doctrinal selection still often need outside evidence.</x:v>
      </x:c>
      <x:c r="B22" s="25"/>
      <x:c r="C22" s="25"/>
      <x:c r="D22" s="25"/>
      <x:c r="E22" s="25"/>
      <x:c r="F22" s="25"/>
    </x:row>
    <x:row r="23" ht="25" customHeight="1">
      <x:c r="A23" s="25"/>
      <x:c r="B23" s="25"/>
      <x:c r="C23" s="25"/>
      <x:c r="D23" s="25"/>
      <x:c r="E23" s="25"/>
      <x:c r="F23" s="25"/>
    </x:row>
    <x:row r="24" ht="25" customHeight="1">
      <x:c r="A24" s="25"/>
      <x:c r="B24" s="25"/>
      <x:c r="C24" s="25"/>
      <x:c r="D24" s="25"/>
      <x:c r="E24" s="25"/>
      <x:c r="F24" s="25"/>
    </x:row>
    <x:row r="25" ht="44" customHeight="1">
      <x:c r="A25" s="40" t="str">
        <x:v>v0.7 amendment</x:v>
      </x:c>
      <x:c r="B25" s="40" t="str">
        <x:v>Three case deep audit: IK-059, IK-036, IK-073</x:v>
      </x:c>
      <x:c r="C25" s="40" t="str">
        <x:v>Methods: Qur'anic syntax, tafsir reception, finite SAT</x:v>
      </x:c>
    </x:row>
    <x:row r="26" ht="44" customHeight="1">
      <x:c r="A26" s="24" t="str">
        <x:v>Counts frozen</x:v>
      </x:c>
      <x:c r="B26" s="24" t="str">
        <x:v>Original v0.6 distribution has not been recounted</x:v>
      </x:c>
      <x:c r="C26" s="24" t="str">
        <x:v>3 entries gain new two-axis classification, no claim of proof</x:v>
      </x:c>
    </x:row>
    <x:row r="27" ht="44" customHeight="1">
      <x:c r="A27" s="24" t="str">
        <x:v>Machine checks</x:v>
      </x:c>
      <x:c r="B27" s="24" t="str">
        <x:v>7 expected SAT/UNSAT results reproduced</x:v>
      </x:c>
      <x:c r="C27" s="24" t="str">
        <x:v>Lean checker unavailable; Python/SymPy only</x:v>
      </x:c>
    </x:row>
  </x:sheetData>
  <x:mergeCells>
    <x:mergeCell ref="A1:F2"/>
    <x:mergeCell ref="A18:F20"/>
    <x:mergeCell ref="A22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4" hidden="0" customWidth="1"/>
    <x:col min="4" max="4" width="16" hidden="0" customWidth="1"/>
    <x:col min="5" max="5" width="16" hidden="0" customWidth="1"/>
    <x:col min="6" max="6" width="13" hidden="0" customWidth="1"/>
    <x:col min="7" max="7" width="52" hidden="0" customWidth="1"/>
    <x:col min="8" max="8" width="35" hidden="0" customWidth="1"/>
    <x:col min="9" max="9" width="35" hidden="0" customWidth="1"/>
  </x:cols>
  <x:sheetData>
    <x:row r="1" ht="32" customHeight="1">
      <x:c r="A1" s="6" t="str">
        <x:v>ID</x:v>
      </x:c>
      <x:c r="B1" s="6" t="str">
        <x:v>Domain</x:v>
      </x:c>
      <x:c r="C1" s="6" t="str">
        <x:v>Cluster</x:v>
      </x:c>
      <x:c r="D1" s="6" t="str">
        <x:v>v0.5 route</x:v>
      </x:c>
      <x:c r="E1" s="6" t="str">
        <x:v>v0.6 route</x:v>
      </x:c>
      <x:c r="F1" s="6" t="str">
        <x:v>Prior status</x:v>
      </x:c>
      <x:c r="G1" s="6" t="str">
        <x:v>Re-audit note / source class</x:v>
      </x:c>
      <x:c r="H1" s="6" t="str">
        <x:v>Original source A</x:v>
      </x:c>
      <x:c r="I1" s="6" t="str">
        <x:v>Original source B</x:v>
      </x:c>
    </x:row>
    <x:row r="2" ht="35" customHeight="1">
      <x:c r="A2" t="str">
        <x:v>IK-001</x:v>
      </x:c>
      <x:c r="B2" s="24" t="str">
        <x:v>Creation &amp; nature</x:v>
      </x:c>
      <x:c r="C2" s="24" t="str">
        <x:v>Six days versus apparent eight</x:v>
      </x:c>
      <x:c r="D2" t="str">
        <x:v>S</x:v>
      </x:c>
      <x:c r="E2" s="30" t="str">
        <x:v>S</x:v>
      </x:c>
      <x:c r="F2" t="str">
        <x:v>P</x:v>
      </x:c>
      <x:c r="G2" s="24" t="str">
        <x:v>Unchanged provisional v0.5 classification; unreviewed</x:v>
      </x:c>
      <x:c r="H2" s="24" t="str">
        <x:v>https://quran.com/7/54</x:v>
      </x:c>
      <x:c r="I2" s="24" t="str">
        <x:v>https://quran.com/41/9</x:v>
      </x:c>
    </x:row>
    <x:row r="3" ht="35" customHeight="1">
      <x:c r="A3" t="str">
        <x:v>IK-002</x:v>
      </x:c>
      <x:c r="B3" s="24" t="str">
        <x:v>Creation &amp; nature</x:v>
      </x:c>
      <x:c r="C3" s="24" t="str">
        <x:v>Earth created before heaven versus earth spread afterward</x:v>
      </x:c>
      <x:c r="D3" t="str">
        <x:v>Q</x:v>
      </x:c>
      <x:c r="E3" s="30" t="str">
        <x:v>Q</x:v>
      </x:c>
      <x:c r="F3" t="str">
        <x:v>P</x:v>
      </x:c>
      <x:c r="G3" s="24" t="str">
        <x:v>Unchanged provisional v0.5 classification; unreviewed</x:v>
      </x:c>
      <x:c r="H3" s="24" t="str">
        <x:v>https://quran.com/2/29</x:v>
      </x:c>
      <x:c r="I3" s="24" t="str">
        <x:v>https://quran.com/79/27</x:v>
      </x:c>
    </x:row>
    <x:row r="4" ht="35" customHeight="1">
      <x:c r="A4" t="str">
        <x:v>IK-003</x:v>
      </x:c>
      <x:c r="B4" s="24" t="str">
        <x:v>Creation &amp; nature</x:v>
      </x:c>
      <x:c r="C4" s="24" t="str">
        <x:v>Creation from dust, clay, water, sperm</x:v>
      </x:c>
      <x:c r="D4" t="str">
        <x:v>Q</x:v>
      </x:c>
      <x:c r="E4" s="30" t="str">
        <x:v>Q</x:v>
      </x:c>
      <x:c r="F4" t="str">
        <x:v>C</x:v>
      </x:c>
      <x:c r="G4" s="24" t="str">
        <x:v>Unchanged provisional v0.5 classification; unreviewed</x:v>
      </x:c>
      <x:c r="H4" s="24" t="str">
        <x:v>https://quran.com/3/59</x:v>
      </x:c>
      <x:c r="I4" s="24" t="str">
        <x:v>https://quran.com/23/12</x:v>
      </x:c>
    </x:row>
    <x:row r="5" ht="35" customHeight="1">
      <x:c r="A5" t="str">
        <x:v>IK-004</x:v>
      </x:c>
      <x:c r="B5" s="24" t="str">
        <x:v>Creation &amp; nature</x:v>
      </x:c>
      <x:c r="C5" s="24" t="str">
        <x:v>Everything created in pairs</x:v>
      </x:c>
      <x:c r="D5" t="str">
        <x:v>U</x:v>
      </x:c>
      <x:c r="E5" s="30" t="str">
        <x:v>U</x:v>
      </x:c>
      <x:c r="F5" t="str">
        <x:v>O</x:v>
      </x:c>
      <x:c r="G5" s="24" t="str">
        <x:v>Reviewed, route retained; see Focused re-audit.</x:v>
      </x:c>
      <x:c r="H5" s="24" t="str">
        <x:v>https://quran.com/51/49</x:v>
      </x:c>
      <x:c r="I5" s="24" t="str">
        <x:v>https://quran.com/36/36</x:v>
      </x:c>
    </x:row>
    <x:row r="6" ht="35" customHeight="1">
      <x:c r="A6" t="str">
        <x:v>IK-005</x:v>
      </x:c>
      <x:c r="B6" s="24" t="str">
        <x:v>Creation &amp; nature</x:v>
      </x:c>
      <x:c r="C6" s="24" t="str">
        <x:v>All living things from water versus jinn from fire</x:v>
      </x:c>
      <x:c r="D6" t="str">
        <x:v>L</x:v>
      </x:c>
      <x:c r="E6" s="30" t="str">
        <x:v>L</x:v>
      </x:c>
      <x:c r="F6" t="str">
        <x:v>P</x:v>
      </x:c>
      <x:c r="G6" s="24" t="str">
        <x:v>Unchanged provisional v0.5 classification; unreviewed</x:v>
      </x:c>
      <x:c r="H6" s="24" t="str">
        <x:v>https://quran.com/21/30</x:v>
      </x:c>
      <x:c r="I6" s="24" t="str">
        <x:v>https://quran.com/55/15</x:v>
      </x:c>
    </x:row>
    <x:row r="7" ht="35" customHeight="1">
      <x:c r="A7" t="str">
        <x:v>IK-006</x:v>
      </x:c>
      <x:c r="B7" s="24" t="str">
        <x:v>Creation &amp; nature</x:v>
      </x:c>
      <x:c r="C7" s="24" t="str">
        <x:v>Iblis excluded from angels yet is jinn</x:v>
      </x:c>
      <x:c r="D7" t="str">
        <x:v>L</x:v>
      </x:c>
      <x:c r="E7" s="30" t="str">
        <x:v>L</x:v>
      </x:c>
      <x:c r="F7" t="str">
        <x:v>P</x:v>
      </x:c>
      <x:c r="G7" s="24" t="str">
        <x:v>Unchanged provisional v0.5 classification; unreviewed</x:v>
      </x:c>
      <x:c r="H7" s="24" t="str">
        <x:v>https://quran.com/2/34</x:v>
      </x:c>
      <x:c r="I7" s="24" t="str">
        <x:v>https://quran.com/18/50</x:v>
      </x:c>
    </x:row>
    <x:row r="8" ht="35" customHeight="1">
      <x:c r="A8" t="str">
        <x:v>IK-007</x:v>
      </x:c>
      <x:c r="B8" s="24" t="str">
        <x:v>Creation &amp; nature</x:v>
      </x:c>
      <x:c r="C8" s="24" t="str">
        <x:v>Iblis obeys a command addressed to angels</x:v>
      </x:c>
      <x:c r="D8" t="str">
        <x:v>Q</x:v>
      </x:c>
      <x:c r="E8" s="30" t="str">
        <x:v>Q</x:v>
      </x:c>
      <x:c r="F8" t="str">
        <x:v>P</x:v>
      </x:c>
      <x:c r="G8" s="24" t="str">
        <x:v>Unchanged provisional v0.5 classification; unreviewed</x:v>
      </x:c>
      <x:c r="H8" s="24" t="str">
        <x:v>https://quran.com/2/34</x:v>
      </x:c>
      <x:c r="I8" s="24" t="str">
        <x:v>https://quran.com/18/50</x:v>
      </x:c>
    </x:row>
    <x:row r="9" ht="35" customHeight="1">
      <x:c r="A9" t="str">
        <x:v>IK-008</x:v>
      </x:c>
      <x:c r="B9" s="24" t="str">
        <x:v>Creation &amp; nature</x:v>
      </x:c>
      <x:c r="C9" s="24" t="str">
        <x:v>God best of creators versus sole creator</x:v>
      </x:c>
      <x:c r="D9" t="str">
        <x:v>L</x:v>
      </x:c>
      <x:c r="E9" s="30" t="str">
        <x:v>L</x:v>
      </x:c>
      <x:c r="F9" t="str">
        <x:v>P</x:v>
      </x:c>
      <x:c r="G9" s="24" t="str">
        <x:v>Unchanged provisional v0.5 classification; unreviewed</x:v>
      </x:c>
      <x:c r="H9" s="24" t="str">
        <x:v>https://quran.com/23/14</x:v>
      </x:c>
      <x:c r="I9" s="24" t="str">
        <x:v>https://quran.com/39/62</x:v>
      </x:c>
    </x:row>
    <x:row r="10" ht="35" customHeight="1">
      <x:c r="A10" t="str">
        <x:v>IK-009</x:v>
      </x:c>
      <x:c r="B10" s="24" t="str">
        <x:v>Creation &amp; nature</x:v>
      </x:c>
      <x:c r="C10" s="24" t="str">
        <x:v>Heavens and earth joined then divided versus heaven smoke</x:v>
      </x:c>
      <x:c r="D10" t="str">
        <x:v>Q</x:v>
      </x:c>
      <x:c r="E10" s="30" t="str">
        <x:v>Q</x:v>
      </x:c>
      <x:c r="F10" t="str">
        <x:v>P</x:v>
      </x:c>
      <x:c r="G10" s="24" t="str">
        <x:v>Unchanged provisional v0.5 classification; unreviewed</x:v>
      </x:c>
      <x:c r="H10" s="24" t="str">
        <x:v>https://quran.com/21/30</x:v>
      </x:c>
      <x:c r="I10" s="24" t="str">
        <x:v>https://quran.com/41/11</x:v>
      </x:c>
    </x:row>
    <x:row r="11" ht="35" customHeight="1">
      <x:c r="A11" t="str">
        <x:v>IK-010</x:v>
      </x:c>
      <x:c r="B11" s="24" t="str">
        <x:v>Creation &amp; nature</x:v>
      </x:c>
      <x:c r="C11" s="24" t="str">
        <x:v>Sun setting in a muddy spring versus its orbit</x:v>
      </x:c>
      <x:c r="D11" t="str">
        <x:v>S</x:v>
      </x:c>
      <x:c r="E11" s="30" t="str">
        <x:v>S</x:v>
      </x:c>
      <x:c r="F11" t="str">
        <x:v>P</x:v>
      </x:c>
      <x:c r="G11" s="24" t="str">
        <x:v>Unchanged provisional v0.5 classification; unreviewed</x:v>
      </x:c>
      <x:c r="H11" s="24" t="str">
        <x:v>https://quran.com/18/86</x:v>
      </x:c>
      <x:c r="I11" s="24" t="str">
        <x:v>https://quran.com/21/33</x:v>
      </x:c>
    </x:row>
    <x:row r="12" ht="35" customHeight="1">
      <x:c r="A12" t="str">
        <x:v>IK-011</x:v>
      </x:c>
      <x:c r="B12" s="24" t="str">
        <x:v>Creation &amp; nature</x:v>
      </x:c>
      <x:c r="C12" s="24" t="str">
        <x:v>Only some creatures crawl, walk on two or four legs</x:v>
      </x:c>
      <x:c r="D12" t="str">
        <x:v>S</x:v>
      </x:c>
      <x:c r="E12" s="30" t="str">
        <x:v>S</x:v>
      </x:c>
      <x:c r="F12" t="str">
        <x:v>C</x:v>
      </x:c>
      <x:c r="G12" s="24" t="str">
        <x:v>Unchanged provisional v0.5 classification; unreviewed</x:v>
      </x:c>
      <x:c r="H12" s="24" t="str">
        <x:v>https://quran.com/24/45</x:v>
      </x:c>
      <x:c r="I12" s="24" t="str">
        <x:v>https://quran.com/21/30</x:v>
      </x:c>
    </x:row>
    <x:row r="13" ht="35" customHeight="1">
      <x:c r="A13" t="str">
        <x:v>IK-012</x:v>
      </x:c>
      <x:c r="B13" s="24" t="str">
        <x:v>Creation &amp; nature</x:v>
      </x:c>
      <x:c r="C13" s="24" t="str">
        <x:v>Stars adorn heaven and become projectiles</x:v>
      </x:c>
      <x:c r="D13" t="str">
        <x:v>Q</x:v>
      </x:c>
      <x:c r="E13" s="30" t="str">
        <x:v>Q</x:v>
      </x:c>
      <x:c r="F13" t="str">
        <x:v>C</x:v>
      </x:c>
      <x:c r="G13" s="24" t="str">
        <x:v>Unchanged provisional v0.5 classification; unreviewed</x:v>
      </x:c>
      <x:c r="H13" s="24" t="str">
        <x:v>https://quran.com/37/6</x:v>
      </x:c>
      <x:c r="I13" s="24" t="str">
        <x:v>https://quran.com/41/12</x:v>
      </x:c>
    </x:row>
    <x:row r="14" ht="35" customHeight="1">
      <x:c r="A14" t="str">
        <x:v>IK-013</x:v>
      </x:c>
      <x:c r="B14" s="24" t="str">
        <x:v>God &amp; agency</x:v>
      </x:c>
      <x:c r="C14" s="24" t="str">
        <x:v>God's words unchangeable versus abrogation</x:v>
      </x:c>
      <x:c r="D14" t="str">
        <x:v>L</x:v>
      </x:c>
      <x:c r="E14" s="30" t="str">
        <x:v>L</x:v>
      </x:c>
      <x:c r="F14" t="str">
        <x:v>P</x:v>
      </x:c>
      <x:c r="G14" s="24" t="str">
        <x:v>Unchanged provisional v0.5 classification; unreviewed</x:v>
      </x:c>
      <x:c r="H14" s="24" t="str">
        <x:v>https://quran.com/6/115</x:v>
      </x:c>
      <x:c r="I14" s="24" t="str">
        <x:v>https://quran.com/2/106</x:v>
      </x:c>
    </x:row>
    <x:row r="15" ht="35" customHeight="1">
      <x:c r="A15" t="str">
        <x:v>IK-014</x:v>
      </x:c>
      <x:c r="B15" s="24" t="str">
        <x:v>God &amp; agency</x:v>
      </x:c>
      <x:c r="C15" s="24" t="str">
        <x:v>God guides and misguides versus justice</x:v>
      </x:c>
      <x:c r="D15" t="str">
        <x:v>U</x:v>
      </x:c>
      <x:c r="E15" s="30" t="str">
        <x:v>U</x:v>
      </x:c>
      <x:c r="F15" t="str">
        <x:v>O</x:v>
      </x:c>
      <x:c r="G15" s="24" t="str">
        <x:v>Reviewed, route retained; see Focused re-audit.</x:v>
      </x:c>
      <x:c r="H15" s="24" t="str">
        <x:v>https://quran.com/16/93</x:v>
      </x:c>
      <x:c r="I15" s="24" t="str">
        <x:v>https://quran.com/4/40</x:v>
      </x:c>
    </x:row>
    <x:row r="16" ht="35" customHeight="1">
      <x:c r="A16" t="str">
        <x:v>IK-015</x:v>
      </x:c>
      <x:c r="B16" s="24" t="str">
        <x:v>God &amp; agency</x:v>
      </x:c>
      <x:c r="C16" s="24" t="str">
        <x:v>Mercy encompasses all versus eternal chastisement</x:v>
      </x:c>
      <x:c r="D16" t="str">
        <x:v>S</x:v>
      </x:c>
      <x:c r="E16" s="30" t="str">
        <x:v>S</x:v>
      </x:c>
      <x:c r="F16" t="str">
        <x:v>P</x:v>
      </x:c>
      <x:c r="G16" s="24" t="str">
        <x:v>Unchanged provisional v0.5 classification; unreviewed</x:v>
      </x:c>
      <x:c r="H16" s="24" t="str">
        <x:v>https://quran.com/7/156</x:v>
      </x:c>
      <x:c r="I16" s="24" t="str">
        <x:v>https://quran.com/4/169</x:v>
      </x:c>
    </x:row>
    <x:row r="17" ht="35" customHeight="1">
      <x:c r="A17" t="str">
        <x:v>IK-016</x:v>
      </x:c>
      <x:c r="B17" s="24" t="str">
        <x:v>God &amp; agency</x:v>
      </x:c>
      <x:c r="C17" s="24" t="str">
        <x:v>God does not forget versus God forgot them</x:v>
      </x:c>
      <x:c r="D17" t="str">
        <x:v>L</x:v>
      </x:c>
      <x:c r="E17" s="30" t="str">
        <x:v>L</x:v>
      </x:c>
      <x:c r="F17" t="str">
        <x:v>P</x:v>
      </x:c>
      <x:c r="G17" s="24" t="str">
        <x:v>Unchanged provisional v0.5 classification; unreviewed</x:v>
      </x:c>
      <x:c r="H17" s="24" t="str">
        <x:v>https://quran.com/19/64</x:v>
      </x:c>
      <x:c r="I17" s="24" t="str">
        <x:v>https://quran.com/9/67</x:v>
      </x:c>
    </x:row>
    <x:row r="18" ht="35" customHeight="1">
      <x:c r="A18" t="str">
        <x:v>IK-017</x:v>
      </x:c>
      <x:c r="B18" s="24" t="str">
        <x:v>God &amp; agency</x:v>
      </x:c>
      <x:c r="C18" s="24" t="str">
        <x:v>God already knows versus testing to know</x:v>
      </x:c>
      <x:c r="D18" t="str">
        <x:v>L</x:v>
      </x:c>
      <x:c r="E18" s="30" t="str">
        <x:v>L</x:v>
      </x:c>
      <x:c r="F18" t="str">
        <x:v>P</x:v>
      </x:c>
      <x:c r="G18" s="24" t="str">
        <x:v>Unchanged provisional v0.5 classification; unreviewed</x:v>
      </x:c>
      <x:c r="H18" s="24" t="str">
        <x:v>https://quran.com/6/59</x:v>
      </x:c>
      <x:c r="I18" s="24" t="str">
        <x:v>https://quran.com/3/142</x:v>
      </x:c>
    </x:row>
    <x:row r="19" ht="35" customHeight="1">
      <x:c r="A19" t="str">
        <x:v>IK-018</x:v>
      </x:c>
      <x:c r="B19" s="24" t="str">
        <x:v>God &amp; agency</x:v>
      </x:c>
      <x:c r="C19" s="24" t="str">
        <x:v>Divine proximity versus enthronement</x:v>
      </x:c>
      <x:c r="D19" t="str">
        <x:v>U</x:v>
      </x:c>
      <x:c r="E19" s="30" t="str">
        <x:v>U</x:v>
      </x:c>
      <x:c r="F19" t="str">
        <x:v>O</x:v>
      </x:c>
      <x:c r="G19" s="24" t="str">
        <x:v>Unchanged provisional v0.5 classification; unreviewed</x:v>
      </x:c>
      <x:c r="H19" s="24" t="str">
        <x:v>https://quran.com/50/16</x:v>
      </x:c>
      <x:c r="I19" s="24" t="str">
        <x:v>https://quran.com/20/5</x:v>
      </x:c>
    </x:row>
    <x:row r="20" ht="35" customHeight="1">
      <x:c r="A20" t="str">
        <x:v>IK-019</x:v>
      </x:c>
      <x:c r="B20" s="24" t="str">
        <x:v>God &amp; agency</x:v>
      </x:c>
      <x:c r="C20" s="24" t="str">
        <x:v>Vision of God denied versus faces looking at God</x:v>
      </x:c>
      <x:c r="D20" t="str">
        <x:v>L</x:v>
      </x:c>
      <x:c r="E20" s="30" t="str">
        <x:v>L</x:v>
      </x:c>
      <x:c r="F20" t="str">
        <x:v>O</x:v>
      </x:c>
      <x:c r="G20" s="24" t="str">
        <x:v>Unchanged provisional v0.5 classification; unreviewed</x:v>
      </x:c>
      <x:c r="H20" s="24" t="str">
        <x:v>https://quran.com/6/103</x:v>
      </x:c>
      <x:c r="I20" s="24" t="str">
        <x:v>https://quran.com/75/22</x:v>
      </x:c>
    </x:row>
    <x:row r="21" ht="35" customHeight="1">
      <x:c r="A21" t="str">
        <x:v>IK-020</x:v>
      </x:c>
      <x:c r="B21" s="24" t="str">
        <x:v>God &amp; agency</x:v>
      </x:c>
      <x:c r="C21" s="24" t="str">
        <x:v>No equal to God versus anthropomorphic descriptions</x:v>
      </x:c>
      <x:c r="D21" t="str">
        <x:v>U</x:v>
      </x:c>
      <x:c r="E21" s="30" t="str">
        <x:v>U</x:v>
      </x:c>
      <x:c r="F21" t="str">
        <x:v>O</x:v>
      </x:c>
      <x:c r="G21" s="24" t="str">
        <x:v>Unchanged provisional v0.5 classification; unreviewed</x:v>
      </x:c>
      <x:c r="H21" s="24" t="str">
        <x:v>https://quran.com/112/4</x:v>
      </x:c>
      <x:c r="I21" s="24" t="str">
        <x:v>https://quran.com/48/10</x:v>
      </x:c>
    </x:row>
    <x:row r="22" ht="35" customHeight="1">
      <x:c r="A22" t="str">
        <x:v>IK-021</x:v>
      </x:c>
      <x:c r="B22" s="24" t="str">
        <x:v>God &amp; agency</x:v>
      </x:c>
      <x:c r="C22" s="24" t="str">
        <x:v>Divine decree unalterable versus erasure of record</x:v>
      </x:c>
      <x:c r="D22" t="str">
        <x:v>Q</x:v>
      </x:c>
      <x:c r="E22" s="30" t="str">
        <x:v>Q</x:v>
      </x:c>
      <x:c r="F22" t="str">
        <x:v>P</x:v>
      </x:c>
      <x:c r="G22" s="24" t="str">
        <x:v>Unchanged provisional v0.5 classification; unreviewed</x:v>
      </x:c>
      <x:c r="H22" s="24" t="str">
        <x:v>https://quran.com/33/62</x:v>
      </x:c>
      <x:c r="I22" s="24" t="str">
        <x:v>https://quran.com/13/39</x:v>
      </x:c>
    </x:row>
    <x:row r="23" ht="35" customHeight="1">
      <x:c r="A23" t="str">
        <x:v>IK-022</x:v>
      </x:c>
      <x:c r="B23" s="24" t="str">
        <x:v>God &amp; agency</x:v>
      </x:c>
      <x:c r="C23" s="24" t="str">
        <x:v>Made jinn and humans for worship versus made many for Hell</x:v>
      </x:c>
      <x:c r="D23" t="str">
        <x:v>U</x:v>
      </x:c>
      <x:c r="E23" s="30" t="str">
        <x:v>U</x:v>
      </x:c>
      <x:c r="F23" t="str">
        <x:v>O</x:v>
      </x:c>
      <x:c r="G23" s="24" t="str">
        <x:v>Unchanged provisional v0.5 classification; unreviewed</x:v>
      </x:c>
      <x:c r="H23" s="24" t="str">
        <x:v>https://quran.com/51/56</x:v>
      </x:c>
      <x:c r="I23" s="24" t="str">
        <x:v>https://quran.com/7/179</x:v>
      </x:c>
    </x:row>
    <x:row r="24" ht="35" customHeight="1">
      <x:c r="A24" t="str">
        <x:v>IK-023</x:v>
      </x:c>
      <x:c r="B24" s="24" t="str">
        <x:v>God &amp; agency</x:v>
      </x:c>
      <x:c r="C24" s="24" t="str">
        <x:v>God does not command indecency versus commands a town</x:v>
      </x:c>
      <x:c r="D24" t="str">
        <x:v>L</x:v>
      </x:c>
      <x:c r="E24" s="30" t="str">
        <x:v>L</x:v>
      </x:c>
      <x:c r="F24" t="str">
        <x:v>P</x:v>
      </x:c>
      <x:c r="G24" s="24" t="str">
        <x:v>Unchanged provisional v0.5 classification; unreviewed</x:v>
      </x:c>
      <x:c r="H24" s="24" t="str">
        <x:v>https://quran.com/7/28</x:v>
      </x:c>
      <x:c r="I24" s="24" t="str">
        <x:v>https://quran.com/17/16</x:v>
      </x:c>
    </x:row>
    <x:row r="25" ht="35" customHeight="1">
      <x:c r="A25" t="str">
        <x:v>IK-024</x:v>
      </x:c>
      <x:c r="B25" s="24" t="str">
        <x:v>God &amp; agency</x:v>
      </x:c>
      <x:c r="C25" s="24" t="str">
        <x:v>Everything perishes except His face versus everlasting Garden</x:v>
      </x:c>
      <x:c r="D25" t="str">
        <x:v>L</x:v>
      </x:c>
      <x:c r="E25" s="30" t="str">
        <x:v>L</x:v>
      </x:c>
      <x:c r="F25" t="str">
        <x:v>P</x:v>
      </x:c>
      <x:c r="G25" s="24" t="str">
        <x:v>Unchanged provisional v0.5 classification; unreviewed</x:v>
      </x:c>
      <x:c r="H25" s="24" t="str">
        <x:v>https://quran.com/28/88</x:v>
      </x:c>
      <x:c r="I25" s="24" t="str">
        <x:v>https://quran.com/4/57</x:v>
      </x:c>
    </x:row>
    <x:row r="26" ht="35" customHeight="1">
      <x:c r="A26" t="str">
        <x:v>IK-025</x:v>
      </x:c>
      <x:c r="B26" s="24" t="str">
        <x:v>God &amp; agency</x:v>
      </x:c>
      <x:c r="C26" s="24" t="str">
        <x:v>No intercession versus intercession with permission</x:v>
      </x:c>
      <x:c r="D26" t="str">
        <x:v>Q</x:v>
      </x:c>
      <x:c r="E26" s="30" t="str">
        <x:v>Q</x:v>
      </x:c>
      <x:c r="F26" t="str">
        <x:v>C</x:v>
      </x:c>
      <x:c r="G26" s="24" t="str">
        <x:v>Unchanged provisional v0.5 classification; unreviewed</x:v>
      </x:c>
      <x:c r="H26" s="24" t="str">
        <x:v>https://quran.com/2/48</x:v>
      </x:c>
      <x:c r="I26" s="24" t="str">
        <x:v>https://quran.com/2/255</x:v>
      </x:c>
    </x:row>
    <x:row r="27" ht="35" customHeight="1">
      <x:c r="A27" t="str">
        <x:v>IK-026</x:v>
      </x:c>
      <x:c r="B27" s="24" t="str">
        <x:v>God &amp; agency</x:v>
      </x:c>
      <x:c r="C27" s="24" t="str">
        <x:v>Forgives all sins versus excludes shirk</x:v>
      </x:c>
      <x:c r="D27" t="str">
        <x:v>Q</x:v>
      </x:c>
      <x:c r="E27" s="30" t="str">
        <x:v>Q</x:v>
      </x:c>
      <x:c r="F27" t="str">
        <x:v>P</x:v>
      </x:c>
      <x:c r="G27" s="24" t="str">
        <x:v>Unchanged provisional v0.5 classification; unreviewed</x:v>
      </x:c>
      <x:c r="H27" s="24" t="str">
        <x:v>https://quran.com/39/53</x:v>
      </x:c>
      <x:c r="I27" s="24" t="str">
        <x:v>https://quran.com/4/48</x:v>
      </x:c>
    </x:row>
    <x:row r="28" ht="35" customHeight="1">
      <x:c r="A28" t="str">
        <x:v>IK-027</x:v>
      </x:c>
      <x:c r="B28" s="24" t="str">
        <x:v>Revelation &amp; prophets</x:v>
      </x:c>
      <x:c r="C28" s="24" t="str">
        <x:v>Muhammad first of Muslims versus earlier Muslim prophets</x:v>
      </x:c>
      <x:c r="D28" t="str">
        <x:v>T</x:v>
      </x:c>
      <x:c r="E28" s="30" t="str">
        <x:v>Q</x:v>
      </x:c>
      <x:c r="F28" t="str">
        <x:v>P</x:v>
      </x:c>
      <x:c r="G28" s="24" t="str">
        <x:v>Reclassified; see Focused re-audit. Cross-verse consistency; scope selection undecided</x:v>
      </x:c>
      <x:c r="H28" s="24" t="str">
        <x:v>https://quran.com/6/163</x:v>
      </x:c>
      <x:c r="I28" s="24" t="str">
        <x:v>https://quran.com/3/67</x:v>
      </x:c>
    </x:row>
    <x:row r="29" ht="35" customHeight="1">
      <x:c r="A29" t="str">
        <x:v>IK-028</x:v>
      </x:c>
      <x:c r="B29" s="24" t="str">
        <x:v>Revelation &amp; prophets</x:v>
      </x:c>
      <x:c r="C29" s="24" t="str">
        <x:v>Moses first believer versus earlier believers</x:v>
      </x:c>
      <x:c r="D29" t="str">
        <x:v>S</x:v>
      </x:c>
      <x:c r="E29" s="30" t="str">
        <x:v>S</x:v>
      </x:c>
      <x:c r="F29" t="str">
        <x:v>P</x:v>
      </x:c>
      <x:c r="G29" s="24" t="str">
        <x:v>Unchanged provisional v0.5 classification; unreviewed</x:v>
      </x:c>
      <x:c r="H29" s="24" t="str">
        <x:v>https://quran.com/7/143</x:v>
      </x:c>
      <x:c r="I29" s="24" t="str">
        <x:v>https://quran.com/3/67</x:v>
      </x:c>
    </x:row>
    <x:row r="30" ht="35" customHeight="1">
      <x:c r="A30" t="str">
        <x:v>IK-029</x:v>
      </x:c>
      <x:c r="B30" s="24" t="str">
        <x:v>Revelation &amp; prophets</x:v>
      </x:c>
      <x:c r="C30" s="24" t="str">
        <x:v>Every community had a warner versus Arabs with none</x:v>
      </x:c>
      <x:c r="D30" t="str">
        <x:v>Q</x:v>
      </x:c>
      <x:c r="E30" s="30" t="str">
        <x:v>Q</x:v>
      </x:c>
      <x:c r="F30" t="str">
        <x:v>P</x:v>
      </x:c>
      <x:c r="G30" s="24" t="str">
        <x:v>Unchanged provisional v0.5 classification; unreviewed</x:v>
      </x:c>
      <x:c r="H30" s="24" t="str">
        <x:v>https://quran.com/35/24</x:v>
      </x:c>
      <x:c r="I30" s="24" t="str">
        <x:v>https://quran.com/28/46</x:v>
      </x:c>
    </x:row>
    <x:row r="31" ht="35" customHeight="1">
      <x:c r="A31" t="str">
        <x:v>IK-030</x:v>
      </x:c>
      <x:c r="B31" s="24" t="str">
        <x:v>Revelation &amp; prophets</x:v>
      </x:c>
      <x:c r="C31" s="24" t="str">
        <x:v>All earlier messengers men versus angel messengers</x:v>
      </x:c>
      <x:c r="D31" t="str">
        <x:v>Q</x:v>
      </x:c>
      <x:c r="E31" s="30" t="str">
        <x:v>Q</x:v>
      </x:c>
      <x:c r="F31" t="str">
        <x:v>C</x:v>
      </x:c>
      <x:c r="G31" s="24" t="str">
        <x:v>Unchanged provisional v0.5 classification; unreviewed</x:v>
      </x:c>
      <x:c r="H31" s="24" t="str">
        <x:v>https://quran.com/12/109</x:v>
      </x:c>
      <x:c r="I31" s="24" t="str">
        <x:v>https://quran.com/22/75</x:v>
      </x:c>
    </x:row>
    <x:row r="32" ht="35" customHeight="1">
      <x:c r="A32" t="str">
        <x:v>IK-031</x:v>
      </x:c>
      <x:c r="B32" s="24" t="str">
        <x:v>Revelation &amp; prophets</x:v>
      </x:c>
      <x:c r="C32" s="24" t="str">
        <x:v>Revelation to Moses and Muhammad versus inspiration to women</x:v>
      </x:c>
      <x:c r="D32" t="str">
        <x:v>L</x:v>
      </x:c>
      <x:c r="E32" s="30" t="str">
        <x:v>L</x:v>
      </x:c>
      <x:c r="F32" t="str">
        <x:v>P</x:v>
      </x:c>
      <x:c r="G32" s="24" t="str">
        <x:v>Unchanged provisional v0.5 classification; unreviewed</x:v>
      </x:c>
      <x:c r="H32" s="24" t="str">
        <x:v>https://quran.com/12/109</x:v>
      </x:c>
      <x:c r="I32" s="24" t="str">
        <x:v>https://quran.com/28/7</x:v>
      </x:c>
    </x:row>
    <x:row r="33" ht="35" customHeight="1">
      <x:c r="A33" t="str">
        <x:v>IK-032</x:v>
      </x:c>
      <x:c r="B33" s="24" t="str">
        <x:v>Revelation &amp; prophets</x:v>
      </x:c>
      <x:c r="C33" s="24" t="str">
        <x:v>Clear Arabic book versus ambiguous verses</x:v>
      </x:c>
      <x:c r="D33" t="str">
        <x:v>Q</x:v>
      </x:c>
      <x:c r="E33" s="30" t="str">
        <x:v>Q</x:v>
      </x:c>
      <x:c r="F33" t="str">
        <x:v>P</x:v>
      </x:c>
      <x:c r="G33" s="24" t="str">
        <x:v>Unchanged provisional v0.5 classification; unreviewed</x:v>
      </x:c>
      <x:c r="H33" s="24" t="str">
        <x:v>https://quran.com/12/2</x:v>
      </x:c>
      <x:c r="I33" s="24" t="str">
        <x:v>https://quran.com/3/7</x:v>
      </x:c>
    </x:row>
    <x:row r="34" ht="35" customHeight="1">
      <x:c r="A34" t="str">
        <x:v>IK-033</x:v>
      </x:c>
      <x:c r="B34" s="24" t="str">
        <x:v>Revelation &amp; prophets</x:v>
      </x:c>
      <x:c r="C34" s="24" t="str">
        <x:v>Explanation of everything versus omitted ritual detail</x:v>
      </x:c>
      <x:c r="D34" t="str">
        <x:v>L</x:v>
      </x:c>
      <x:c r="E34" s="30" t="str">
        <x:v>L</x:v>
      </x:c>
      <x:c r="F34" t="str">
        <x:v>P</x:v>
      </x:c>
      <x:c r="G34" s="24" t="str">
        <x:v>Unchanged provisional v0.5 classification; unreviewed</x:v>
      </x:c>
      <x:c r="H34" s="24" t="str">
        <x:v>https://quran.com/16/89</x:v>
      </x:c>
      <x:c r="I34" s="24" t="str">
        <x:v>https://quran.com/17/85</x:v>
      </x:c>
    </x:row>
    <x:row r="35" ht="35" customHeight="1">
      <x:c r="A35" t="str">
        <x:v>IK-034</x:v>
      </x:c>
      <x:c r="B35" s="24" t="str">
        <x:v>Revelation &amp; prophets</x:v>
      </x:c>
      <x:c r="C35" s="24" t="str">
        <x:v>Quran sent down in Ramadan versus piecemeal descent</x:v>
      </x:c>
      <x:c r="D35" t="str">
        <x:v>L</x:v>
      </x:c>
      <x:c r="E35" s="30" t="str">
        <x:v>L</x:v>
      </x:c>
      <x:c r="F35" t="str">
        <x:v>P</x:v>
      </x:c>
      <x:c r="G35" s="24" t="str">
        <x:v>Unchanged provisional v0.5 classification; unreviewed</x:v>
      </x:c>
      <x:c r="H35" s="24" t="str">
        <x:v>https://quran.com/2/185</x:v>
      </x:c>
      <x:c r="I35" s="24" t="str">
        <x:v>https://quran.com/25/32</x:v>
      </x:c>
    </x:row>
    <x:row r="36" ht="35" customHeight="1">
      <x:c r="A36" t="str">
        <x:v>IK-035</x:v>
      </x:c>
      <x:c r="B36" s="24" t="str">
        <x:v>Revelation &amp; prophets</x:v>
      </x:c>
      <x:c r="C36" s="24" t="str">
        <x:v>Earlier scripture confirmed versus distorted</x:v>
      </x:c>
      <x:c r="D36" t="str">
        <x:v>Q</x:v>
      </x:c>
      <x:c r="E36" s="30" t="str">
        <x:v>Q</x:v>
      </x:c>
      <x:c r="F36" t="str">
        <x:v>P</x:v>
      </x:c>
      <x:c r="G36" s="24" t="str">
        <x:v>Unchanged provisional v0.5 classification; unreviewed</x:v>
      </x:c>
      <x:c r="H36" s="24" t="str">
        <x:v>https://quran.com/3/3</x:v>
      </x:c>
      <x:c r="I36" s="24" t="str">
        <x:v>https://quran.com/2/75</x:v>
      </x:c>
    </x:row>
    <x:row r="37" ht="35" customHeight="1">
      <x:c r="A37" t="str">
        <x:v>IK-036</x:v>
      </x:c>
      <x:c r="B37" s="24" t="str">
        <x:v>Revelation &amp; prophets</x:v>
      </x:c>
      <x:c r="C37" s="24" t="str">
        <x:v>All believers of prior religions saved versus Islam required</x:v>
      </x:c>
      <x:c r="D37" t="str">
        <x:v>U</x:v>
      </x:c>
      <x:c r="E37" s="30" t="str">
        <x:v>U</x:v>
      </x:c>
      <x:c r="F37" t="str">
        <x:v>O</x:v>
      </x:c>
      <x:c r="G37" s="24" t="str">
        <x:v>Reviewed, route retained; see Focused re-audit.</x:v>
      </x:c>
      <x:c r="H37" s="24" t="str">
        <x:v>https://quran.com/2/62</x:v>
      </x:c>
      <x:c r="I37" s="24" t="str">
        <x:v>https://quran.com/3/85</x:v>
      </x:c>
    </x:row>
    <x:row r="38" ht="35" customHeight="1">
      <x:c r="A38" t="str">
        <x:v>IK-037</x:v>
      </x:c>
      <x:c r="B38" s="24" t="str">
        <x:v>Revelation &amp; prophets</x:v>
      </x:c>
      <x:c r="C38" s="24" t="str">
        <x:v>Quran called speech of messenger versus revelation from God</x:v>
      </x:c>
      <x:c r="D38" t="str">
        <x:v>Q</x:v>
      </x:c>
      <x:c r="E38" s="30" t="str">
        <x:v>Q</x:v>
      </x:c>
      <x:c r="F38" t="str">
        <x:v>C</x:v>
      </x:c>
      <x:c r="G38" s="24" t="str">
        <x:v>Unchanged provisional v0.5 classification; unreviewed</x:v>
      </x:c>
      <x:c r="H38" s="24" t="str">
        <x:v>https://quran.com/69/40</x:v>
      </x:c>
      <x:c r="I38" s="24" t="str">
        <x:v>https://quran.com/4/82</x:v>
      </x:c>
    </x:row>
    <x:row r="39" ht="35" customHeight="1">
      <x:c r="A39" t="str">
        <x:v>IK-038</x:v>
      </x:c>
      <x:c r="B39" s="24" t="str">
        <x:v>Revelation &amp; prophets</x:v>
      </x:c>
      <x:c r="C39" s="24" t="str">
        <x:v>No messenger without own people's language versus Arabic for all</x:v>
      </x:c>
      <x:c r="D39" t="str">
        <x:v>U</x:v>
      </x:c>
      <x:c r="E39" s="30" t="str">
        <x:v>Q</x:v>
      </x:c>
      <x:c r="F39" t="str">
        <x:v>P</x:v>
      </x:c>
      <x:c r="G39" s="24" t="str">
        <x:v>Reclassified; see Focused re-audit. Compatibility strong; operational universality open</x:v>
      </x:c>
      <x:c r="H39" s="24" t="str">
        <x:v>https://quran.com/14/4</x:v>
      </x:c>
      <x:c r="I39" s="24" t="str">
        <x:v>https://quran.com/7/158</x:v>
      </x:c>
    </x:row>
    <x:row r="40" ht="35" customHeight="1">
      <x:c r="A40" t="str">
        <x:v>IK-039</x:v>
      </x:c>
      <x:c r="B40" s="24" t="str">
        <x:v>Law &amp; community</x:v>
      </x:c>
      <x:c r="C40" s="24" t="str">
        <x:v>No compulsion versus fighting for religion</x:v>
      </x:c>
      <x:c r="D40" t="str">
        <x:v>U</x:v>
      </x:c>
      <x:c r="E40" s="30" t="str">
        <x:v>U</x:v>
      </x:c>
      <x:c r="F40" t="str">
        <x:v>O</x:v>
      </x:c>
      <x:c r="G40" s="24" t="str">
        <x:v>Reviewed, route retained; see Focused re-audit.</x:v>
      </x:c>
      <x:c r="H40" s="24" t="str">
        <x:v>https://quran.com/2/256</x:v>
      </x:c>
      <x:c r="I40" s="24" t="str">
        <x:v>https://quran.com/8/39</x:v>
      </x:c>
    </x:row>
    <x:row r="41" ht="35" customHeight="1">
      <x:c r="A41" t="str">
        <x:v>IK-040</x:v>
      </x:c>
      <x:c r="B41" s="24" t="str">
        <x:v>Law &amp; community</x:v>
      </x:c>
      <x:c r="C41" s="24" t="str">
        <x:v>Marriage to polytheists versus People of Book</x:v>
      </x:c>
      <x:c r="D41" t="str">
        <x:v>Q</x:v>
      </x:c>
      <x:c r="E41" s="30" t="str">
        <x:v>Q</x:v>
      </x:c>
      <x:c r="F41" t="str">
        <x:v>P</x:v>
      </x:c>
      <x:c r="G41" s="24" t="str">
        <x:v>Unchanged provisional v0.5 classification; unreviewed</x:v>
      </x:c>
      <x:c r="H41" s="24" t="str">
        <x:v>https://quran.com/2/221</x:v>
      </x:c>
      <x:c r="I41" s="24" t="str">
        <x:v>https://quran.com/5/5</x:v>
      </x:c>
    </x:row>
    <x:row r="42" ht="35" customHeight="1">
      <x:c r="A42" t="str">
        <x:v>IK-041</x:v>
      </x:c>
      <x:c r="B42" s="24" t="str">
        <x:v>Law &amp; community</x:v>
      </x:c>
      <x:c r="C42" s="24" t="str">
        <x:v>Four-wife limit versus prophet-specific marriages</x:v>
      </x:c>
      <x:c r="D42" t="str">
        <x:v>S</x:v>
      </x:c>
      <x:c r="E42" s="30" t="str">
        <x:v>S</x:v>
      </x:c>
      <x:c r="F42" t="str">
        <x:v>C</x:v>
      </x:c>
      <x:c r="G42" s="24" t="str">
        <x:v>Unchanged provisional v0.5 classification; unreviewed</x:v>
      </x:c>
      <x:c r="H42" s="24" t="str">
        <x:v>https://quran.com/4/3</x:v>
      </x:c>
      <x:c r="I42" s="24" t="str">
        <x:v>https://quran.com/33/50</x:v>
      </x:c>
    </x:row>
    <x:row r="43" ht="35" customHeight="1">
      <x:c r="A43" t="str">
        <x:v>IK-042</x:v>
      </x:c>
      <x:c r="B43" s="24" t="str">
        <x:v>Law &amp; community</x:v>
      </x:c>
      <x:c r="C43" s="24" t="str">
        <x:v>Bequest to parents versus fixed inheritance shares</x:v>
      </x:c>
      <x:c r="D43" t="str">
        <x:v>T</x:v>
      </x:c>
      <x:c r="E43" s="30" t="str">
        <x:v>Q</x:v>
      </x:c>
      <x:c r="F43" t="str">
        <x:v>P</x:v>
      </x:c>
      <x:c r="G43" s="24" t="str">
        <x:v>Reclassified; see Focused re-audit. Qur'anic coexistence; complete estate law requires rules</x:v>
      </x:c>
      <x:c r="H43" s="24" t="str">
        <x:v>https://quran.com/2/180</x:v>
      </x:c>
      <x:c r="I43" s="24" t="str">
        <x:v>https://quran.com/4/11</x:v>
      </x:c>
    </x:row>
    <x:row r="44" ht="35" customHeight="1">
      <x:c r="A44" t="str">
        <x:v>IK-043</x:v>
      </x:c>
      <x:c r="B44" s="24" t="str">
        <x:v>Law &amp; community</x:v>
      </x:c>
      <x:c r="C44" s="24" t="str">
        <x:v>Widow provision a year versus waiting four months ten days</x:v>
      </x:c>
      <x:c r="D44" t="str">
        <x:v>Q</x:v>
      </x:c>
      <x:c r="E44" s="30" t="str">
        <x:v>Q</x:v>
      </x:c>
      <x:c r="F44" t="str">
        <x:v>P</x:v>
      </x:c>
      <x:c r="G44" s="24" t="str">
        <x:v>Unchanged provisional v0.5 classification; unreviewed</x:v>
      </x:c>
      <x:c r="H44" s="24" t="str">
        <x:v>https://quran.com/2/240</x:v>
      </x:c>
      <x:c r="I44" s="24" t="str">
        <x:v>https://quran.com/2/234</x:v>
      </x:c>
    </x:row>
    <x:row r="45" ht="35" customHeight="1">
      <x:c r="A45" t="str">
        <x:v>IK-044</x:v>
      </x:c>
      <x:c r="B45" s="24" t="str">
        <x:v>Law &amp; community</x:v>
      </x:c>
      <x:c r="C45" s="24" t="str">
        <x:v>Fixed fractions add beyond one estate</x:v>
      </x:c>
      <x:c r="D45" t="str">
        <x:v>U</x:v>
      </x:c>
      <x:c r="E45" s="30" t="str">
        <x:v>U</x:v>
      </x:c>
      <x:c r="F45" t="str">
        <x:v>O</x:v>
      </x:c>
      <x:c r="G45" s="24" t="str">
        <x:v>Reviewed, route retained; see Focused re-audit.</x:v>
      </x:c>
      <x:c r="H45" s="24" t="str">
        <x:v>https://quran.com/4/11</x:v>
      </x:c>
      <x:c r="I45" s="24" t="str">
        <x:v>https://quran.com/4/12</x:v>
      </x:c>
    </x:row>
    <x:row r="46" ht="35" customHeight="1">
      <x:c r="A46" t="str">
        <x:v>IK-045</x:v>
      </x:c>
      <x:c r="B46" s="24" t="str">
        <x:v>Law &amp; community</x:v>
      </x:c>
      <x:c r="C46" s="24" t="str">
        <x:v>Combat prohibited in sacred month versus combat instructions</x:v>
      </x:c>
      <x:c r="D46" t="str">
        <x:v>T</x:v>
      </x:c>
      <x:c r="E46" s="30" t="str">
        <x:v>Q</x:v>
      </x:c>
      <x:c r="F46" t="str">
        <x:v>P</x:v>
      </x:c>
      <x:c r="G46" s="24" t="str">
        <x:v>Reclassified; see Focused re-audit. Possible joint reading; exact legal exceptions not settled</x:v>
      </x:c>
      <x:c r="H46" s="24" t="str">
        <x:v>https://quran.com/2/217</x:v>
      </x:c>
      <x:c r="I46" s="24" t="str">
        <x:v>https://quran.com/9/36</x:v>
      </x:c>
    </x:row>
    <x:row r="47" ht="35" customHeight="1">
      <x:c r="A47" t="str">
        <x:v>IK-046</x:v>
      </x:c>
      <x:c r="B47" s="24" t="str">
        <x:v>Law &amp; community</x:v>
      </x:c>
      <x:c r="C47" s="24" t="str">
        <x:v>Kill idolaters where found versus treaties and asylum</x:v>
      </x:c>
      <x:c r="D47" t="str">
        <x:v>S</x:v>
      </x:c>
      <x:c r="E47" s="30" t="str">
        <x:v>S</x:v>
      </x:c>
      <x:c r="F47" t="str">
        <x:v>C</x:v>
      </x:c>
      <x:c r="G47" s="24" t="str">
        <x:v>Unchanged provisional v0.5 classification; unreviewed</x:v>
      </x:c>
      <x:c r="H47" s="24" t="str">
        <x:v>https://quran.com/9/5</x:v>
      </x:c>
      <x:c r="I47" s="24" t="str">
        <x:v>https://quran.com/9/4</x:v>
      </x:c>
    </x:row>
    <x:row r="48" ht="35" customHeight="1">
      <x:c r="A48" t="str">
        <x:v>IK-047</x:v>
      </x:c>
      <x:c r="B48" s="24" t="str">
        <x:v>Law &amp; community</x:v>
      </x:c>
      <x:c r="C48" s="24" t="str">
        <x:v>Wine called harmful versus later forbidden</x:v>
      </x:c>
      <x:c r="D48" t="str">
        <x:v>T</x:v>
      </x:c>
      <x:c r="E48" s="30" t="str">
        <x:v>Q</x:v>
      </x:c>
      <x:c r="F48" t="str">
        <x:v>P</x:v>
      </x:c>
      <x:c r="G48" s="24" t="str">
        <x:v>Reclassified; see Focused re-audit. Compatible norms; historical sequence separate</x:v>
      </x:c>
      <x:c r="H48" s="24" t="str">
        <x:v>https://quran.com/2/219</x:v>
      </x:c>
      <x:c r="I48" s="24" t="str">
        <x:v>https://quran.com/5/90</x:v>
      </x:c>
    </x:row>
    <x:row r="49" ht="35" customHeight="1">
      <x:c r="A49" t="str">
        <x:v>IK-048</x:v>
      </x:c>
      <x:c r="B49" s="24" t="str">
        <x:v>Law &amp; community</x:v>
      </x:c>
      <x:c r="C49" s="24" t="str">
        <x:v>God's face wherever one turns versus qibla obligation</x:v>
      </x:c>
      <x:c r="D49" t="str">
        <x:v>Q</x:v>
      </x:c>
      <x:c r="E49" s="30" t="str">
        <x:v>Q</x:v>
      </x:c>
      <x:c r="F49" t="str">
        <x:v>C</x:v>
      </x:c>
      <x:c r="G49" s="24" t="str">
        <x:v>Unchanged provisional v0.5 classification; unreviewed</x:v>
      </x:c>
      <x:c r="H49" s="24" t="str">
        <x:v>https://quran.com/2/115</x:v>
      </x:c>
      <x:c r="I49" s="24" t="str">
        <x:v>https://quran.com/2/144</x:v>
      </x:c>
    </x:row>
    <x:row r="50" ht="35" customHeight="1">
      <x:c r="A50" t="str">
        <x:v>IK-049</x:v>
      </x:c>
      <x:c r="B50" s="24" t="str">
        <x:v>Law &amp; community</x:v>
      </x:c>
      <x:c r="C50" s="24" t="str">
        <x:v>Food prohibitions exhaustive versus extended prohibitions</x:v>
      </x:c>
      <x:c r="D50" t="str">
        <x:v>Q</x:v>
      </x:c>
      <x:c r="E50" s="30" t="str">
        <x:v>Q</x:v>
      </x:c>
      <x:c r="F50" t="str">
        <x:v>P</x:v>
      </x:c>
      <x:c r="G50" s="24" t="str">
        <x:v>Unchanged provisional v0.5 classification; unreviewed</x:v>
      </x:c>
      <x:c r="H50" s="24" t="str">
        <x:v>https://quran.com/6/145</x:v>
      </x:c>
      <x:c r="I50" s="24" t="str">
        <x:v>https://quran.com/5/3</x:v>
      </x:c>
    </x:row>
    <x:row r="51" ht="35" customHeight="1">
      <x:c r="A51" t="str">
        <x:v>IK-050</x:v>
      </x:c>
      <x:c r="B51" s="24" t="str">
        <x:v>Law &amp; community</x:v>
      </x:c>
      <x:c r="C51" s="24" t="str">
        <x:v>Do not take Jews/Christians as allies versus kindness</x:v>
      </x:c>
      <x:c r="D51" t="str">
        <x:v>L</x:v>
      </x:c>
      <x:c r="E51" s="30" t="str">
        <x:v>L</x:v>
      </x:c>
      <x:c r="F51" t="str">
        <x:v>P</x:v>
      </x:c>
      <x:c r="G51" s="24" t="str">
        <x:v>Unchanged provisional v0.5 classification; unreviewed</x:v>
      </x:c>
      <x:c r="H51" s="24" t="str">
        <x:v>https://quran.com/5/51</x:v>
      </x:c>
      <x:c r="I51" s="24" t="str">
        <x:v>https://quran.com/60/8</x:v>
      </x:c>
    </x:row>
    <x:row r="52" ht="35" customHeight="1">
      <x:c r="A52" t="str">
        <x:v>IK-051</x:v>
      </x:c>
      <x:c r="B52" s="24" t="str">
        <x:v>Law &amp; community</x:v>
      </x:c>
      <x:c r="C52" s="24" t="str">
        <x:v>Confinement for fornication versus one hundred lashes</x:v>
      </x:c>
      <x:c r="D52" t="str">
        <x:v>Q</x:v>
      </x:c>
      <x:c r="E52" s="30" t="str">
        <x:v>Q</x:v>
      </x:c>
      <x:c r="F52" t="str">
        <x:v>P</x:v>
      </x:c>
      <x:c r="G52" s="24" t="str">
        <x:v>Unchanged provisional v0.5 classification; unreviewed</x:v>
      </x:c>
      <x:c r="H52" s="24" t="str">
        <x:v>https://quran.com/4/15</x:v>
      </x:c>
      <x:c r="I52" s="24" t="str">
        <x:v>https://quran.com/24/2</x:v>
      </x:c>
    </x:row>
    <x:row r="53" ht="35" customHeight="1">
      <x:c r="A53" t="str">
        <x:v>IK-052</x:v>
      </x:c>
      <x:c r="B53" s="24" t="str">
        <x:v>Law &amp; community</x:v>
      </x:c>
      <x:c r="C53" s="24" t="str">
        <x:v>Ratio ten enemies per believer versus two</x:v>
      </x:c>
      <x:c r="D53" t="str">
        <x:v>S</x:v>
      </x:c>
      <x:c r="E53" s="30" t="str">
        <x:v>S</x:v>
      </x:c>
      <x:c r="F53" t="str">
        <x:v>C</x:v>
      </x:c>
      <x:c r="G53" s="24" t="str">
        <x:v>Unchanged provisional v0.5 classification; unreviewed</x:v>
      </x:c>
      <x:c r="H53" s="24" t="str">
        <x:v>https://quran.com/8/65</x:v>
      </x:c>
      <x:c r="I53" s="24" t="str">
        <x:v>https://quran.com/8/66</x:v>
      </x:c>
    </x:row>
    <x:row r="54" ht="35" customHeight="1">
      <x:c r="A54" t="str">
        <x:v>IK-053</x:v>
      </x:c>
      <x:c r="B54" s="24" t="str">
        <x:v>Law &amp; community</x:v>
      </x:c>
      <x:c r="C54" s="24" t="str">
        <x:v>Divorced women three cycles versus three months</x:v>
      </x:c>
      <x:c r="D54" t="str">
        <x:v>S</x:v>
      </x:c>
      <x:c r="E54" s="30" t="str">
        <x:v>S</x:v>
      </x:c>
      <x:c r="F54" t="str">
        <x:v>C</x:v>
      </x:c>
      <x:c r="G54" s="24" t="str">
        <x:v>Unchanged provisional v0.5 classification; unreviewed</x:v>
      </x:c>
      <x:c r="H54" s="24" t="str">
        <x:v>https://quran.com/2/228</x:v>
      </x:c>
      <x:c r="I54" s="24" t="str">
        <x:v>https://quran.com/65/4</x:v>
      </x:c>
    </x:row>
    <x:row r="55" ht="35" customHeight="1">
      <x:c r="A55" t="str">
        <x:v>IK-054</x:v>
      </x:c>
      <x:c r="B55" s="24" t="str">
        <x:v>Law &amp; community</x:v>
      </x:c>
      <x:c r="C55" s="24" t="str">
        <x:v>General fasting duty versus sick/travel exemptions</x:v>
      </x:c>
      <x:c r="D55" t="str">
        <x:v>S</x:v>
      </x:c>
      <x:c r="E55" s="30" t="str">
        <x:v>S</x:v>
      </x:c>
      <x:c r="F55" t="str">
        <x:v>C</x:v>
      </x:c>
      <x:c r="G55" s="24" t="str">
        <x:v>Unchanged provisional v0.5 classification; unreviewed</x:v>
      </x:c>
      <x:c r="H55" s="24" t="str">
        <x:v>https://quran.com/2/183</x:v>
      </x:c>
      <x:c r="I55" s="24" t="str">
        <x:v>https://quran.com/2/187</x:v>
      </x:c>
    </x:row>
    <x:row r="56" ht="35" customHeight="1">
      <x:c r="A56" t="str">
        <x:v>IK-055</x:v>
      </x:c>
      <x:c r="B56" s="24" t="str">
        <x:v>Law &amp; community</x:v>
      </x:c>
      <x:c r="C56" s="24" t="str">
        <x:v>Theft amputation versus repentance afterward</x:v>
      </x:c>
      <x:c r="D56" t="str">
        <x:v>S</x:v>
      </x:c>
      <x:c r="E56" s="30" t="str">
        <x:v>S</x:v>
      </x:c>
      <x:c r="F56" t="str">
        <x:v>P</x:v>
      </x:c>
      <x:c r="G56" s="24" t="str">
        <x:v>Unchanged provisional v0.5 classification; unreviewed</x:v>
      </x:c>
      <x:c r="H56" s="24" t="str">
        <x:v>https://quran.com/5/38</x:v>
      </x:c>
      <x:c r="I56" s="24" t="str">
        <x:v>https://quran.com/5/39</x:v>
      </x:c>
    </x:row>
    <x:row r="57" ht="35" customHeight="1">
      <x:c r="A57" t="str">
        <x:v>IK-056</x:v>
      </x:c>
      <x:c r="B57" s="24" t="str">
        <x:v>Law &amp; community</x:v>
      </x:c>
      <x:c r="C57" s="24" t="str">
        <x:v>Moral equality versus different evidentiary weights</x:v>
      </x:c>
      <x:c r="D57" t="str">
        <x:v>Q</x:v>
      </x:c>
      <x:c r="E57" s="30" t="str">
        <x:v>Q</x:v>
      </x:c>
      <x:c r="F57" t="str">
        <x:v>P</x:v>
      </x:c>
      <x:c r="G57" s="24" t="str">
        <x:v>Unchanged provisional v0.5 classification; unreviewed</x:v>
      </x:c>
      <x:c r="H57" s="24" t="str">
        <x:v>https://quran.com/33/35</x:v>
      </x:c>
      <x:c r="I57" s="24" t="str">
        <x:v>https://quran.com/2/282</x:v>
      </x:c>
    </x:row>
    <x:row r="58" ht="35" customHeight="1">
      <x:c r="A58" t="str">
        <x:v>IK-057</x:v>
      </x:c>
      <x:c r="B58" s="24" t="str">
        <x:v>Law &amp; community</x:v>
      </x:c>
      <x:c r="C58" s="24" t="str">
        <x:v>Enjoin emancipation versus regulate bonded people</x:v>
      </x:c>
      <x:c r="D58" t="str">
        <x:v>U</x:v>
      </x:c>
      <x:c r="E58" s="30" t="str">
        <x:v>U</x:v>
      </x:c>
      <x:c r="F58" t="str">
        <x:v>O</x:v>
      </x:c>
      <x:c r="G58" s="24" t="str">
        <x:v>Unchanged provisional v0.5 classification; unreviewed</x:v>
      </x:c>
      <x:c r="H58" s="24" t="str">
        <x:v>https://quran.com/90/13</x:v>
      </x:c>
      <x:c r="I58" s="24" t="str">
        <x:v>https://quran.com/4/3</x:v>
      </x:c>
    </x:row>
    <x:row r="59" ht="35" customHeight="1">
      <x:c r="A59" t="str">
        <x:v>IK-058</x:v>
      </x:c>
      <x:c r="B59" s="24" t="str">
        <x:v>Law &amp; community</x:v>
      </x:c>
      <x:c r="C59" s="24" t="str">
        <x:v>Prophet may remarry versus 33:52 restriction</x:v>
      </x:c>
      <x:c r="D59" t="str">
        <x:v>T</x:v>
      </x:c>
      <x:c r="E59" s="30" t="str">
        <x:v>S</x:v>
      </x:c>
      <x:c r="F59" t="str">
        <x:v>P</x:v>
      </x:c>
      <x:c r="G59" s="24" t="str">
        <x:v>Reclassified; see Focused re-audit. Sequential restriction internal</x:v>
      </x:c>
      <x:c r="H59" s="24" t="str">
        <x:v>https://quran.com/33/50</x:v>
      </x:c>
      <x:c r="I59" s="24" t="str">
        <x:v>https://quran.com/33/52</x:v>
      </x:c>
    </x:row>
    <x:row r="60" ht="35" customHeight="1">
      <x:c r="A60" t="str">
        <x:v>IK-059</x:v>
      </x:c>
      <x:c r="B60" s="24" t="str">
        <x:v>Judgement &amp; ethics</x:v>
      </x:c>
      <x:c r="C60" s="24" t="str">
        <x:v>No one questioned versus all questioned</x:v>
      </x:c>
      <x:c r="D60" t="str">
        <x:v>U</x:v>
      </x:c>
      <x:c r="E60" s="30" t="str">
        <x:v>U</x:v>
      </x:c>
      <x:c r="F60" t="str">
        <x:v>P</x:v>
      </x:c>
      <x:c r="G60" s="24" t="str">
        <x:v>Reviewed, route retained; see Focused re-audit.</x:v>
      </x:c>
      <x:c r="H60" s="24" t="str">
        <x:v>https://quran.com/55/39</x:v>
      </x:c>
      <x:c r="I60" s="24" t="str">
        <x:v>https://quran.com/15/92</x:v>
      </x:c>
    </x:row>
    <x:row r="61" ht="35" customHeight="1">
      <x:c r="A61" t="str">
        <x:v>IK-060</x:v>
      </x:c>
      <x:c r="B61" s="24" t="str">
        <x:v>Judgement &amp; ethics</x:v>
      </x:c>
      <x:c r="C61" s="24" t="str">
        <x:v>No speech that day versus conversations at judgment</x:v>
      </x:c>
      <x:c r="D61" t="str">
        <x:v>U</x:v>
      </x:c>
      <x:c r="E61" s="30" t="str">
        <x:v>U</x:v>
      </x:c>
      <x:c r="F61" t="str">
        <x:v>P</x:v>
      </x:c>
      <x:c r="G61" s="24" t="str">
        <x:v>Reviewed, route retained; see Focused re-audit.</x:v>
      </x:c>
      <x:c r="H61" s="24" t="str">
        <x:v>https://quran.com/77/35</x:v>
      </x:c>
      <x:c r="I61" s="24" t="str">
        <x:v>https://quran.com/37/27</x:v>
      </x:c>
    </x:row>
    <x:row r="62" ht="35" customHeight="1">
      <x:c r="A62" t="str">
        <x:v>IK-061</x:v>
      </x:c>
      <x:c r="B62" s="24" t="str">
        <x:v>Judgement &amp; ethics</x:v>
      </x:c>
      <x:c r="C62" s="24" t="str">
        <x:v>Sealed mouths versus verbal replies</x:v>
      </x:c>
      <x:c r="D62" t="str">
        <x:v>Q</x:v>
      </x:c>
      <x:c r="E62" s="30" t="str">
        <x:v>Q</x:v>
      </x:c>
      <x:c r="F62" t="str">
        <x:v>P</x:v>
      </x:c>
      <x:c r="G62" s="24" t="str">
        <x:v>Unchanged provisional v0.5 classification; unreviewed</x:v>
      </x:c>
      <x:c r="H62" s="24" t="str">
        <x:v>https://quran.com/36/65</x:v>
      </x:c>
      <x:c r="I62" s="24" t="str">
        <x:v>https://quran.com/6/23</x:v>
      </x:c>
    </x:row>
    <x:row r="63" ht="35" customHeight="1">
      <x:c r="A63" t="str">
        <x:v>IK-062</x:v>
      </x:c>
      <x:c r="B63" s="24" t="str">
        <x:v>Judgement &amp; ethics</x:v>
      </x:c>
      <x:c r="C63" s="24" t="str">
        <x:v>No kinship ties versus recognition of relatives</x:v>
      </x:c>
      <x:c r="D63" t="str">
        <x:v>L</x:v>
      </x:c>
      <x:c r="E63" s="30" t="str">
        <x:v>L</x:v>
      </x:c>
      <x:c r="F63" t="str">
        <x:v>P</x:v>
      </x:c>
      <x:c r="G63" s="24" t="str">
        <x:v>Unchanged provisional v0.5 classification; unreviewed</x:v>
      </x:c>
      <x:c r="H63" s="24" t="str">
        <x:v>https://quran.com/23/101</x:v>
      </x:c>
      <x:c r="I63" s="24" t="str">
        <x:v>https://quran.com/70/10</x:v>
      </x:c>
    </x:row>
    <x:row r="64" ht="35" customHeight="1">
      <x:c r="A64" t="str">
        <x:v>IK-063</x:v>
      </x:c>
      <x:c r="B64" s="24" t="str">
        <x:v>Judgement &amp; ethics</x:v>
      </x:c>
      <x:c r="C64" s="24" t="str">
        <x:v>No friendship or trade versus righteous friends</x:v>
      </x:c>
      <x:c r="D64" t="str">
        <x:v>Q</x:v>
      </x:c>
      <x:c r="E64" s="30" t="str">
        <x:v>Q</x:v>
      </x:c>
      <x:c r="F64" t="str">
        <x:v>C</x:v>
      </x:c>
      <x:c r="G64" s="24" t="str">
        <x:v>Unchanged provisional v0.5 classification; unreviewed</x:v>
      </x:c>
      <x:c r="H64" s="24" t="str">
        <x:v>https://quran.com/2/254</x:v>
      </x:c>
      <x:c r="I64" s="24" t="str">
        <x:v>https://quran.com/43/67</x:v>
      </x:c>
    </x:row>
    <x:row r="65" ht="35" customHeight="1">
      <x:c r="A65" t="str">
        <x:v>IK-064</x:v>
      </x:c>
      <x:c r="B65" s="24" t="str">
        <x:v>Judgement &amp; ethics</x:v>
      </x:c>
      <x:c r="C65" s="24" t="str">
        <x:v>Divine day equals thousand years versus fifty thousand</x:v>
      </x:c>
      <x:c r="D65" t="str">
        <x:v>U</x:v>
      </x:c>
      <x:c r="E65" s="30" t="str">
        <x:v>Q</x:v>
      </x:c>
      <x:c r="F65" t="str">
        <x:v>O</x:v>
      </x:c>
      <x:c r="G65" s="24" t="str">
        <x:v>Reclassified; see Focused re-audit. Different referents stated; direct arithmetic clash fails</x:v>
      </x:c>
      <x:c r="H65" s="24" t="str">
        <x:v>https://quran.com/22/47</x:v>
      </x:c>
      <x:c r="I65" s="24" t="str">
        <x:v>https://quran.com/70/4</x:v>
      </x:c>
    </x:row>
    <x:row r="66" ht="35" customHeight="1">
      <x:c r="A66" t="str">
        <x:v>IK-065</x:v>
      </x:c>
      <x:c r="B66" s="24" t="str">
        <x:v>Judgement &amp; ethics</x:v>
      </x:c>
      <x:c r="C66" s="24" t="str">
        <x:v>Everyone approaches Hell versus righteous kept away</x:v>
      </x:c>
      <x:c r="D66" t="str">
        <x:v>L</x:v>
      </x:c>
      <x:c r="E66" s="30" t="str">
        <x:v>L</x:v>
      </x:c>
      <x:c r="F66" t="str">
        <x:v>P</x:v>
      </x:c>
      <x:c r="G66" s="24" t="str">
        <x:v>Unchanged provisional v0.5 classification; unreviewed</x:v>
      </x:c>
      <x:c r="H66" s="24" t="str">
        <x:v>https://quran.com/19/71</x:v>
      </x:c>
      <x:c r="I66" s="24" t="str">
        <x:v>https://quran.com/21/101</x:v>
      </x:c>
    </x:row>
    <x:row r="67" ht="35" customHeight="1">
      <x:c r="A67" t="str">
        <x:v>IK-066</x:v>
      </x:c>
      <x:c r="B67" s="24" t="str">
        <x:v>Judgement &amp; ethics</x:v>
      </x:c>
      <x:c r="C67" s="24" t="str">
        <x:v>Eternal fire versus divine exception</x:v>
      </x:c>
      <x:c r="D67" t="str">
        <x:v>U</x:v>
      </x:c>
      <x:c r="E67" s="30" t="str">
        <x:v>U</x:v>
      </x:c>
      <x:c r="F67" t="str">
        <x:v>O</x:v>
      </x:c>
      <x:c r="G67" s="24" t="str">
        <x:v>Reviewed, route retained; see Focused re-audit.</x:v>
      </x:c>
      <x:c r="H67" s="24" t="str">
        <x:v>https://quran.com/4/169</x:v>
      </x:c>
      <x:c r="I67" s="24" t="str">
        <x:v>https://quran.com/11/106</x:v>
      </x:c>
    </x:row>
    <x:row r="68" ht="35" customHeight="1">
      <x:c r="A68" t="str">
        <x:v>IK-067</x:v>
      </x:c>
      <x:c r="B68" s="24" t="str">
        <x:v>Judgement &amp; ethics</x:v>
      </x:c>
      <x:c r="C68" s="24" t="str">
        <x:v>Eternal paradise versus divine exception</x:v>
      </x:c>
      <x:c r="D68" t="str">
        <x:v>Q</x:v>
      </x:c>
      <x:c r="E68" s="30" t="str">
        <x:v>Q</x:v>
      </x:c>
      <x:c r="F68" t="str">
        <x:v>P</x:v>
      </x:c>
      <x:c r="G68" s="24" t="str">
        <x:v>Unchanged provisional v0.5 classification; unreviewed</x:v>
      </x:c>
      <x:c r="H68" s="24" t="str">
        <x:v>https://quran.com/18/108</x:v>
      </x:c>
      <x:c r="I68" s="24" t="str">
        <x:v>https://quran.com/11/108</x:v>
      </x:c>
    </x:row>
    <x:row r="69" ht="35" customHeight="1">
      <x:c r="A69" t="str">
        <x:v>IK-068</x:v>
      </x:c>
      <x:c r="B69" s="24" t="str">
        <x:v>Judgement &amp; ethics</x:v>
      </x:c>
      <x:c r="C69" s="24" t="str">
        <x:v>Every soul tastes death versus martyrs alive</x:v>
      </x:c>
      <x:c r="D69" t="str">
        <x:v>Q</x:v>
      </x:c>
      <x:c r="E69" s="30" t="str">
        <x:v>Q</x:v>
      </x:c>
      <x:c r="F69" t="str">
        <x:v>C</x:v>
      </x:c>
      <x:c r="G69" s="24" t="str">
        <x:v>Unchanged provisional v0.5 classification; unreviewed</x:v>
      </x:c>
      <x:c r="H69" s="24" t="str">
        <x:v>https://quran.com/3/185</x:v>
      </x:c>
      <x:c r="I69" s="24" t="str">
        <x:v>https://quran.com/2/154</x:v>
      </x:c>
    </x:row>
    <x:row r="70" ht="35" customHeight="1">
      <x:c r="A70" t="str">
        <x:v>IK-069</x:v>
      </x:c>
      <x:c r="B70" s="24" t="str">
        <x:v>Judgement &amp; ethics</x:v>
      </x:c>
      <x:c r="C70" s="24" t="str">
        <x:v>Heavenly scales versus deeds have no weight</x:v>
      </x:c>
      <x:c r="D70" t="str">
        <x:v>L</x:v>
      </x:c>
      <x:c r="E70" s="30" t="str">
        <x:v>L</x:v>
      </x:c>
      <x:c r="F70" t="str">
        <x:v>P</x:v>
      </x:c>
      <x:c r="G70" s="24" t="str">
        <x:v>Unchanged provisional v0.5 classification; unreviewed</x:v>
      </x:c>
      <x:c r="H70" s="24" t="str">
        <x:v>https://quran.com/21/47</x:v>
      </x:c>
      <x:c r="I70" s="24" t="str">
        <x:v>https://quran.com/18/105</x:v>
      </x:c>
    </x:row>
    <x:row r="71" ht="35" customHeight="1">
      <x:c r="A71" t="str">
        <x:v>IK-070</x:v>
      </x:c>
      <x:c r="B71" s="24" t="str">
        <x:v>Judgement &amp; ethics</x:v>
      </x:c>
      <x:c r="C71" s="24" t="str">
        <x:v>Single resurrection blast versus two trumpet blasts</x:v>
      </x:c>
      <x:c r="D71" t="str">
        <x:v>Q</x:v>
      </x:c>
      <x:c r="E71" s="30" t="str">
        <x:v>Q</x:v>
      </x:c>
      <x:c r="F71" t="str">
        <x:v>P</x:v>
      </x:c>
      <x:c r="G71" s="24" t="str">
        <x:v>Unchanged provisional v0.5 classification; unreviewed</x:v>
      </x:c>
      <x:c r="H71" s="24" t="str">
        <x:v>https://quran.com/36/51</x:v>
      </x:c>
      <x:c r="I71" s="24" t="str">
        <x:v>https://quran.com/39/68</x:v>
      </x:c>
    </x:row>
    <x:row r="72" ht="35" customHeight="1">
      <x:c r="A72" t="str">
        <x:v>IK-071</x:v>
      </x:c>
      <x:c r="B72" s="24" t="str">
        <x:v>Judgement &amp; ethics</x:v>
      </x:c>
      <x:c r="C72" s="24" t="str">
        <x:v>Hour sudden versus signs beforehand</x:v>
      </x:c>
      <x:c r="D72" t="str">
        <x:v>L</x:v>
      </x:c>
      <x:c r="E72" s="30" t="str">
        <x:v>L</x:v>
      </x:c>
      <x:c r="F72" t="str">
        <x:v>C</x:v>
      </x:c>
      <x:c r="G72" s="24" t="str">
        <x:v>Unchanged provisional v0.5 classification; unreviewed</x:v>
      </x:c>
      <x:c r="H72" s="24" t="str">
        <x:v>https://quran.com/7/187</x:v>
      </x:c>
      <x:c r="I72" s="24" t="str">
        <x:v>https://quran.com/47/18</x:v>
      </x:c>
    </x:row>
    <x:row r="73" ht="35" customHeight="1">
      <x:c r="A73" t="str">
        <x:v>IK-072</x:v>
      </x:c>
      <x:c r="B73" s="24" t="str">
        <x:v>Judgement &amp; ethics</x:v>
      </x:c>
      <x:c r="C73" s="24" t="str">
        <x:v>Those worshipped fuel of Hell versus righteous objects of worship</x:v>
      </x:c>
      <x:c r="D73" t="str">
        <x:v>Q</x:v>
      </x:c>
      <x:c r="E73" s="30" t="str">
        <x:v>Q</x:v>
      </x:c>
      <x:c r="F73" t="str">
        <x:v>P</x:v>
      </x:c>
      <x:c r="G73" s="24" t="str">
        <x:v>Unchanged provisional v0.5 classification; unreviewed</x:v>
      </x:c>
      <x:c r="H73" s="24" t="str">
        <x:v>https://quran.com/21/98</x:v>
      </x:c>
      <x:c r="I73" s="24" t="str">
        <x:v>https://quran.com/21/101</x:v>
      </x:c>
    </x:row>
    <x:row r="74" ht="35" customHeight="1">
      <x:c r="A74" t="str">
        <x:v>IK-073</x:v>
      </x:c>
      <x:c r="B74" s="24" t="str">
        <x:v>Judgement &amp; ethics</x:v>
      </x:c>
      <x:c r="C74" s="24" t="str">
        <x:v>No burden bearer shares guilt versus misleaders carry burdens</x:v>
      </x:c>
      <x:c r="D74" t="str">
        <x:v>U</x:v>
      </x:c>
      <x:c r="E74" s="30" t="str">
        <x:v>U</x:v>
      </x:c>
      <x:c r="F74" t="str">
        <x:v>P</x:v>
      </x:c>
      <x:c r="G74" s="24" t="str">
        <x:v>Reviewed, route retained; see Focused re-audit.</x:v>
      </x:c>
      <x:c r="H74" s="24" t="str">
        <x:v>https://quran.com/6/164</x:v>
      </x:c>
      <x:c r="I74" s="24" t="str">
        <x:v>https://quran.com/16/25</x:v>
      </x:c>
    </x:row>
    <x:row r="75" ht="35" customHeight="1">
      <x:c r="A75" t="str">
        <x:v>IK-074</x:v>
      </x:c>
      <x:c r="B75" s="24" t="str">
        <x:v>Judgement &amp; ethics</x:v>
      </x:c>
      <x:c r="C75" s="24" t="str">
        <x:v>God takes souls versus angel takes them</x:v>
      </x:c>
      <x:c r="D75" t="str">
        <x:v>Q</x:v>
      </x:c>
      <x:c r="E75" s="30" t="str">
        <x:v>Q</x:v>
      </x:c>
      <x:c r="F75" t="str">
        <x:v>C</x:v>
      </x:c>
      <x:c r="G75" s="24" t="str">
        <x:v>Unchanged provisional v0.5 classification; unreviewed</x:v>
      </x:c>
      <x:c r="H75" s="24" t="str">
        <x:v>https://quran.com/39/42</x:v>
      </x:c>
      <x:c r="I75" s="24" t="str">
        <x:v>https://quran.com/32/11</x:v>
      </x:c>
    </x:row>
    <x:row r="76" ht="35" customHeight="1">
      <x:c r="A76" t="str">
        <x:v>IK-075</x:v>
      </x:c>
      <x:c r="B76" s="24" t="str">
        <x:v>Judgement &amp; ethics</x:v>
      </x:c>
      <x:c r="C76" s="24" t="str">
        <x:v>Every accountable soul paid versus God multiplies reward</x:v>
      </x:c>
      <x:c r="D76" t="str">
        <x:v>Q</x:v>
      </x:c>
      <x:c r="E76" s="30" t="str">
        <x:v>Q</x:v>
      </x:c>
      <x:c r="F76" t="str">
        <x:v>C</x:v>
      </x:c>
      <x:c r="G76" s="24" t="str">
        <x:v>Unchanged provisional v0.5 classification; unreviewed</x:v>
      </x:c>
      <x:c r="H76" s="24" t="str">
        <x:v>https://quran.com/99/7</x:v>
      </x:c>
      <x:c r="I76" s="24" t="str">
        <x:v>https://quran.com/6/160</x:v>
      </x:c>
    </x:row>
    <x:row r="77" ht="35" customHeight="1">
      <x:c r="A77" t="str">
        <x:v>IK-076</x:v>
      </x:c>
      <x:c r="B77" s="24" t="str">
        <x:v>Judgement &amp; ethics</x:v>
      </x:c>
      <x:c r="C77" s="24" t="str">
        <x:v>Eternal punishment versus mercy to repentant sinners</x:v>
      </x:c>
      <x:c r="D77" t="str">
        <x:v>Q</x:v>
      </x:c>
      <x:c r="E77" s="30" t="str">
        <x:v>Q</x:v>
      </x:c>
      <x:c r="F77" t="str">
        <x:v>P</x:v>
      </x:c>
      <x:c r="G77" s="24" t="str">
        <x:v>Unchanged provisional v0.5 classification; unreviewed</x:v>
      </x:c>
      <x:c r="H77" s="24" t="str">
        <x:v>https://quran.com/4/169</x:v>
      </x:c>
      <x:c r="I77" s="24" t="str">
        <x:v>https://quran.com/39/53</x:v>
      </x:c>
    </x:row>
    <x:row r="78" ht="35" customHeight="1">
      <x:c r="A78" t="str">
        <x:v>IK-077</x:v>
      </x:c>
      <x:c r="B78" s="24" t="str">
        <x:v>Narratives &amp; numbers</x:v>
      </x:c>
      <x:c r="C78" s="24" t="str">
        <x:v>Adam expelled yet forgiven</x:v>
      </x:c>
      <x:c r="D78" t="str">
        <x:v>Q</x:v>
      </x:c>
      <x:c r="E78" s="30" t="str">
        <x:v>Q</x:v>
      </x:c>
      <x:c r="F78" t="str">
        <x:v>C</x:v>
      </x:c>
      <x:c r="G78" s="24" t="str">
        <x:v>Unchanged provisional v0.5 classification; unreviewed</x:v>
      </x:c>
      <x:c r="H78" s="24" t="str">
        <x:v>https://quran.com/2/36</x:v>
      </x:c>
      <x:c r="I78" s="24" t="str">
        <x:v>https://quran.com/2/37</x:v>
      </x:c>
    </x:row>
    <x:row r="79" ht="35" customHeight="1">
      <x:c r="A79" t="str">
        <x:v>IK-078</x:v>
      </x:c>
      <x:c r="B79" s="24" t="str">
        <x:v>Narratives &amp; numbers</x:v>
      </x:c>
      <x:c r="C79" s="24" t="str">
        <x:v>Adam forgot versus Adam disobeyed</x:v>
      </x:c>
      <x:c r="D79" t="str">
        <x:v>L</x:v>
      </x:c>
      <x:c r="E79" s="30" t="str">
        <x:v>L</x:v>
      </x:c>
      <x:c r="F79" t="str">
        <x:v>P</x:v>
      </x:c>
      <x:c r="G79" s="24" t="str">
        <x:v>Unchanged provisional v0.5 classification; unreviewed</x:v>
      </x:c>
      <x:c r="H79" s="24" t="str">
        <x:v>https://quran.com/20/115</x:v>
      </x:c>
      <x:c r="I79" s="24" t="str">
        <x:v>https://quran.com/20/121</x:v>
      </x:c>
    </x:row>
    <x:row r="80" ht="35" customHeight="1">
      <x:c r="A80" t="str">
        <x:v>IK-079</x:v>
      </x:c>
      <x:c r="B80" s="24" t="str">
        <x:v>Narratives &amp; numbers</x:v>
      </x:c>
      <x:c r="C80" s="24" t="str">
        <x:v>Pharaoh drowned versus body saved</x:v>
      </x:c>
      <x:c r="D80" t="str">
        <x:v>S</x:v>
      </x:c>
      <x:c r="E80" s="30" t="str">
        <x:v>S</x:v>
      </x:c>
      <x:c r="F80" t="str">
        <x:v>C</x:v>
      </x:c>
      <x:c r="G80" s="24" t="str">
        <x:v>Unchanged provisional v0.5 classification; unreviewed</x:v>
      </x:c>
      <x:c r="H80" s="24" t="str">
        <x:v>https://quran.com/10/90</x:v>
      </x:c>
      <x:c r="I80" s="24" t="str">
        <x:v>https://quran.com/17/103</x:v>
      </x:c>
    </x:row>
    <x:row r="81" ht="35" customHeight="1">
      <x:c r="A81" t="str">
        <x:v>IK-080</x:v>
      </x:c>
      <x:c r="B81" s="24" t="str">
        <x:v>Narratives &amp; numbers</x:v>
      </x:c>
      <x:c r="C81" s="24" t="str">
        <x:v>Noah's household saved versus son drowned</x:v>
      </x:c>
      <x:c r="D81" t="str">
        <x:v>S</x:v>
      </x:c>
      <x:c r="E81" s="30" t="str">
        <x:v>S</x:v>
      </x:c>
      <x:c r="F81" t="str">
        <x:v>C</x:v>
      </x:c>
      <x:c r="G81" s="24" t="str">
        <x:v>Unchanged provisional v0.5 classification; unreviewed</x:v>
      </x:c>
      <x:c r="H81" s="24" t="str">
        <x:v>https://quran.com/11/40</x:v>
      </x:c>
      <x:c r="I81" s="24" t="str">
        <x:v>https://quran.com/11/42</x:v>
      </x:c>
    </x:row>
    <x:row r="82" ht="35" customHeight="1">
      <x:c r="A82" t="str">
        <x:v>IK-081</x:v>
      </x:c>
      <x:c r="B82" s="24" t="str">
        <x:v>Narratives &amp; numbers</x:v>
      </x:c>
      <x:c r="C82" s="24" t="str">
        <x:v>Noah descendants remain versus others on ship</x:v>
      </x:c>
      <x:c r="D82" t="str">
        <x:v>U</x:v>
      </x:c>
      <x:c r="E82" s="30" t="str">
        <x:v>U</x:v>
      </x:c>
      <x:c r="F82" t="str">
        <x:v>O</x:v>
      </x:c>
      <x:c r="G82" s="24" t="str">
        <x:v>Reviewed, route retained; see Focused re-audit.</x:v>
      </x:c>
      <x:c r="H82" s="24" t="str">
        <x:v>https://quran.com/37/77</x:v>
      </x:c>
      <x:c r="I82" s="24" t="str">
        <x:v>https://quran.com/11/40</x:v>
      </x:c>
    </x:row>
    <x:row r="83" ht="35" customHeight="1">
      <x:c r="A83" t="str">
        <x:v>IK-082</x:v>
      </x:c>
      <x:c r="B83" s="24" t="str">
        <x:v>Narratives &amp; numbers</x:v>
      </x:c>
      <x:c r="C83" s="24" t="str">
        <x:v>Moses' staff called big serpent versus small snake</x:v>
      </x:c>
      <x:c r="D83" t="str">
        <x:v>L</x:v>
      </x:c>
      <x:c r="E83" s="30" t="str">
        <x:v>L</x:v>
      </x:c>
      <x:c r="F83" t="str">
        <x:v>P</x:v>
      </x:c>
      <x:c r="G83" s="24" t="str">
        <x:v>Unchanged provisional v0.5 classification; unreviewed</x:v>
      </x:c>
      <x:c r="H83" s="24" t="str">
        <x:v>https://quran.com/7/107</x:v>
      </x:c>
      <x:c r="I83" s="24" t="str">
        <x:v>https://quran.com/27/10</x:v>
      </x:c>
    </x:row>
    <x:row r="84" ht="35" customHeight="1">
      <x:c r="A84" t="str">
        <x:v>IK-083</x:v>
      </x:c>
      <x:c r="B84" s="24" t="str">
        <x:v>Narratives &amp; numbers</x:v>
      </x:c>
      <x:c r="C84" s="24" t="str">
        <x:v>Moses forty nights versus thirty plus ten</x:v>
      </x:c>
      <x:c r="D84" t="str">
        <x:v>S</x:v>
      </x:c>
      <x:c r="E84" s="30" t="str">
        <x:v>S</x:v>
      </x:c>
      <x:c r="F84" t="str">
        <x:v>C</x:v>
      </x:c>
      <x:c r="G84" s="24" t="str">
        <x:v>Unchanged provisional v0.5 classification; unreviewed</x:v>
      </x:c>
      <x:c r="H84" s="24" t="str">
        <x:v>https://quran.com/2/51</x:v>
      </x:c>
      <x:c r="I84" s="24" t="str">
        <x:v>https://quran.com/7/142</x:v>
      </x:c>
    </x:row>
    <x:row r="85" ht="35" customHeight="1">
      <x:c r="A85" t="str">
        <x:v>IK-084</x:v>
      </x:c>
      <x:c r="B85" s="24" t="str">
        <x:v>Narratives &amp; numbers</x:v>
      </x:c>
      <x:c r="C85" s="24" t="str">
        <x:v>Israel inherits Pharaoh's estates versus Holy Land</x:v>
      </x:c>
      <x:c r="D85" t="str">
        <x:v>U</x:v>
      </x:c>
      <x:c r="E85" s="30" t="str">
        <x:v>U</x:v>
      </x:c>
      <x:c r="F85" t="str">
        <x:v>O</x:v>
      </x:c>
      <x:c r="G85" s="24" t="str">
        <x:v>Reviewed, route retained; see Focused re-audit.</x:v>
      </x:c>
      <x:c r="H85" s="24" t="str">
        <x:v>https://quran.com/26/57</x:v>
      </x:c>
      <x:c r="I85" s="24" t="str">
        <x:v>https://quran.com/5/21</x:v>
      </x:c>
    </x:row>
    <x:row r="86" ht="35" customHeight="1">
      <x:c r="A86" t="str">
        <x:v>IK-085</x:v>
      </x:c>
      <x:c r="B86" s="24" t="str">
        <x:v>Narratives &amp; numbers</x:v>
      </x:c>
      <x:c r="C86" s="24" t="str">
        <x:v>Badr: one thousand versus three or five thousand angels</x:v>
      </x:c>
      <x:c r="D86" t="str">
        <x:v>T</x:v>
      </x:c>
      <x:c r="E86" s="30" t="str">
        <x:v>Q</x:v>
      </x:c>
      <x:c r="F86" t="str">
        <x:v>P</x:v>
      </x:c>
      <x:c r="G86" s="24" t="str">
        <x:v>Reclassified; see Focused re-audit. Numerical propositions are compatible; event history separate</x:v>
      </x:c>
      <x:c r="H86" s="24" t="str">
        <x:v>https://quran.com/8/9</x:v>
      </x:c>
      <x:c r="I86" s="24" t="str">
        <x:v>https://quran.com/3/124</x:v>
      </x:c>
    </x:row>
    <x:row r="87" ht="35" customHeight="1">
      <x:c r="A87" t="str">
        <x:v>IK-086</x:v>
      </x:c>
      <x:c r="B87" s="24" t="str">
        <x:v>Narratives &amp; numbers</x:v>
      </x:c>
      <x:c r="C87" s="24" t="str">
        <x:v>Samaritan makes calf versus Israelites make calf</x:v>
      </x:c>
      <x:c r="D87" t="str">
        <x:v>Q</x:v>
      </x:c>
      <x:c r="E87" s="30" t="str">
        <x:v>Q</x:v>
      </x:c>
      <x:c r="F87" t="str">
        <x:v>P</x:v>
      </x:c>
      <x:c r="G87" s="24" t="str">
        <x:v>Unchanged provisional v0.5 classification; unreviewed</x:v>
      </x:c>
      <x:c r="H87" s="24" t="str">
        <x:v>https://quran.com/20/85</x:v>
      </x:c>
      <x:c r="I87" s="24" t="str">
        <x:v>https://quran.com/7/148</x:v>
      </x:c>
    </x:row>
    <x:row r="88" ht="35" customHeight="1">
      <x:c r="A88" t="str">
        <x:v>IK-087</x:v>
      </x:c>
      <x:c r="B88" s="24" t="str">
        <x:v>Narratives &amp; numbers</x:v>
      </x:c>
      <x:c r="C88" s="24" t="str">
        <x:v>Jesus taken or dies versus opponents fail to kill</x:v>
      </x:c>
      <x:c r="D88" t="str">
        <x:v>U</x:v>
      </x:c>
      <x:c r="E88" s="30" t="str">
        <x:v>U</x:v>
      </x:c>
      <x:c r="F88" t="str">
        <x:v>O</x:v>
      </x:c>
      <x:c r="G88" s="24" t="str">
        <x:v>Reviewed, route retained; see Focused re-audit.</x:v>
      </x:c>
      <x:c r="H88" s="24" t="str">
        <x:v>https://quran.com/3/55</x:v>
      </x:c>
      <x:c r="I88" s="24" t="str">
        <x:v>https://quran.com/4/157</x:v>
      </x:c>
    </x:row>
    <x:row r="89" ht="35" customHeight="1">
      <x:c r="A89" t="str">
        <x:v>IK-088</x:v>
      </x:c>
      <x:c r="B89" s="24" t="str">
        <x:v>Narratives &amp; numbers</x:v>
      </x:c>
      <x:c r="C89" s="24" t="str">
        <x:v>Pharaoh's family chastised versus his wife believer</x:v>
      </x:c>
      <x:c r="D89" t="str">
        <x:v>Q</x:v>
      </x:c>
      <x:c r="E89" s="30" t="str">
        <x:v>Q</x:v>
      </x:c>
      <x:c r="F89" t="str">
        <x:v>C</x:v>
      </x:c>
      <x:c r="G89" s="24" t="str">
        <x:v>Unchanged provisional v0.5 classification; unreviewed</x:v>
      </x:c>
      <x:c r="H89" s="24" t="str">
        <x:v>https://quran.com/40/46</x:v>
      </x:c>
      <x:c r="I89" s="24" t="str">
        <x:v>https://quran.com/66/11</x:v>
      </x:c>
    </x:row>
    <x:row r="90" ht="35" customHeight="1">
      <x:c r="A90" t="str">
        <x:v>IK-089</x:v>
      </x:c>
      <x:c r="B90" s="24" t="str">
        <x:v>Narratives &amp; numbers</x:v>
      </x:c>
      <x:c r="C90" s="24" t="str">
        <x:v>Dhul-Qarnayn wall still standing versus Gog release</x:v>
      </x:c>
      <x:c r="D90" t="str">
        <x:v>Q</x:v>
      </x:c>
      <x:c r="E90" s="30" t="str">
        <x:v>Q</x:v>
      </x:c>
      <x:c r="F90" t="str">
        <x:v>C</x:v>
      </x:c>
      <x:c r="G90" s="24" t="str">
        <x:v>Unchanged provisional v0.5 classification; unreviewed</x:v>
      </x:c>
      <x:c r="H90" s="24" t="str">
        <x:v>https://quran.com/18/94</x:v>
      </x:c>
      <x:c r="I90" s="24" t="str">
        <x:v>https://quran.com/21/96</x:v>
      </x:c>
    </x:row>
    <x:row r="91" ht="35" customHeight="1">
      <x:c r="A91" t="str">
        <x:v>IK-090</x:v>
      </x:c>
      <x:c r="B91" s="24" t="str">
        <x:v>Narratives &amp; numbers</x:v>
      </x:c>
      <x:c r="C91" s="24" t="str">
        <x:v>God saved Israel versus Israel punished</x:v>
      </x:c>
      <x:c r="D91" t="str">
        <x:v>Q</x:v>
      </x:c>
      <x:c r="E91" s="30" t="str">
        <x:v>Q</x:v>
      </x:c>
      <x:c r="F91" t="str">
        <x:v>C</x:v>
      </x:c>
      <x:c r="G91" s="24" t="str">
        <x:v>Unchanged provisional v0.5 classification; unreviewed</x:v>
      </x:c>
      <x:c r="H91" s="24" t="str">
        <x:v>https://quran.com/2/49</x:v>
      </x:c>
      <x:c r="I91" s="24" t="str">
        <x:v>https://quran.com/5/26</x:v>
      </x:c>
    </x:row>
    <x:row r="92" ht="35" customHeight="1">
      <x:c r="A92" t="str">
        <x:v>IK-091</x:v>
      </x:c>
      <x:c r="B92" s="24" t="str">
        <x:v>Narratives &amp; numbers</x:v>
      </x:c>
      <x:c r="C92" s="24" t="str">
        <x:v>Shuaib and Midian versus People of the Thicket</x:v>
      </x:c>
      <x:c r="D92" t="str">
        <x:v>T</x:v>
      </x:c>
      <x:c r="E92" s="30" t="str">
        <x:v>Q</x:v>
      </x:c>
      <x:c r="F92" t="str">
        <x:v>P</x:v>
      </x:c>
      <x:c r="G92" s="24" t="str">
        <x:v>Reclassified; see Focused re-audit. Consistent under multiple identities; referent unresolved</x:v>
      </x:c>
      <x:c r="H92" s="24" t="str">
        <x:v>https://quran.com/7/85</x:v>
      </x:c>
      <x:c r="I92" s="24" t="str">
        <x:v>https://quran.com/26/176</x:v>
      </x:c>
    </x:row>
    <x:row r="93" ht="35" customHeight="1">
      <x:c r="A93" t="str">
        <x:v>IK-092</x:v>
      </x:c>
      <x:c r="B93" s="24" t="str">
        <x:v>Text &amp; epistemology</x:v>
      </x:c>
      <x:c r="C93" s="24" t="str">
        <x:v>No much contradiction versus acknowledged ambiguity</x:v>
      </x:c>
      <x:c r="D93" t="str">
        <x:v>L</x:v>
      </x:c>
      <x:c r="E93" s="30" t="str">
        <x:v>L</x:v>
      </x:c>
      <x:c r="F93" t="str">
        <x:v>C</x:v>
      </x:c>
      <x:c r="G93" s="24" t="str">
        <x:v>Unchanged provisional v0.5 classification; unreviewed</x:v>
      </x:c>
      <x:c r="H93" s="24" t="str">
        <x:v>https://quran.com/4/82</x:v>
      </x:c>
      <x:c r="I93" s="24" t="str">
        <x:v>https://quran.com/3/7</x:v>
      </x:c>
    </x:row>
    <x:row r="94" ht="35" customHeight="1">
      <x:c r="A94" t="str">
        <x:v>IK-093</x:v>
      </x:c>
      <x:c r="B94" s="24" t="str">
        <x:v>Text &amp; epistemology</x:v>
      </x:c>
      <x:c r="C94" s="24" t="str">
        <x:v>God makes Quran easy versus some meanings inaccessible</x:v>
      </x:c>
      <x:c r="D94" t="str">
        <x:v>Q</x:v>
      </x:c>
      <x:c r="E94" s="30" t="str">
        <x:v>Q</x:v>
      </x:c>
      <x:c r="F94" t="str">
        <x:v>P</x:v>
      </x:c>
      <x:c r="G94" s="24" t="str">
        <x:v>Unchanged provisional v0.5 classification; unreviewed</x:v>
      </x:c>
      <x:c r="H94" s="24" t="str">
        <x:v>https://quran.com/54/17</x:v>
      </x:c>
      <x:c r="I94" s="24" t="str">
        <x:v>https://quran.com/3/7</x:v>
      </x:c>
    </x:row>
    <x:row r="95" ht="35" customHeight="1">
      <x:c r="A95" t="str">
        <x:v>IK-094</x:v>
      </x:c>
      <x:c r="B95" s="24" t="str">
        <x:v>Text &amp; epistemology</x:v>
      </x:c>
      <x:c r="C95" s="24" t="str">
        <x:v>Protected revelation versus human forgetting of recitation</x:v>
      </x:c>
      <x:c r="D95" t="str">
        <x:v>Q</x:v>
      </x:c>
      <x:c r="E95" s="30" t="str">
        <x:v>Q</x:v>
      </x:c>
      <x:c r="F95" t="str">
        <x:v>P</x:v>
      </x:c>
      <x:c r="G95" s="24" t="str">
        <x:v>Unchanged provisional v0.5 classification; unreviewed</x:v>
      </x:c>
      <x:c r="H95" s="24" t="str">
        <x:v>https://quran.com/15/9</x:v>
      </x:c>
      <x:c r="I95" s="24" t="str">
        <x:v>https://quran.com/2/106</x:v>
      </x:c>
    </x:row>
    <x:row r="96" ht="35" customHeight="1">
      <x:c r="A96" t="str">
        <x:v>IK-095</x:v>
      </x:c>
      <x:c r="B96" s="24" t="str">
        <x:v>Text &amp; epistemology</x:v>
      </x:c>
      <x:c r="C96" s="24" t="str">
        <x:v>Unalterable divine norms versus change in commandments</x:v>
      </x:c>
      <x:c r="D96" t="str">
        <x:v>L</x:v>
      </x:c>
      <x:c r="E96" s="30" t="str">
        <x:v>L</x:v>
      </x:c>
      <x:c r="F96" t="str">
        <x:v>C</x:v>
      </x:c>
      <x:c r="G96" s="24" t="str">
        <x:v>Unchanged provisional v0.5 classification; unreviewed</x:v>
      </x:c>
      <x:c r="H96" s="24" t="str">
        <x:v>https://quran.com/33/62</x:v>
      </x:c>
      <x:c r="I96" s="24" t="str">
        <x:v>https://quran.com/2/106</x:v>
      </x:c>
    </x:row>
    <x:row r="97" ht="35" customHeight="1">
      <x:c r="A97" t="str">
        <x:v>IK-096</x:v>
      </x:c>
      <x:c r="B97" s="24" t="str">
        <x:v>Text &amp; epistemology</x:v>
      </x:c>
      <x:c r="C97" s="24" t="str">
        <x:v>God gives examples yet forbids comparison to God</x:v>
      </x:c>
      <x:c r="D97" t="str">
        <x:v>S</x:v>
      </x:c>
      <x:c r="E97" s="30" t="str">
        <x:v>S</x:v>
      </x:c>
      <x:c r="F97" t="str">
        <x:v>C</x:v>
      </x:c>
      <x:c r="G97" s="24" t="str">
        <x:v>Unchanged provisional v0.5 classification; unreviewed</x:v>
      </x:c>
      <x:c r="H97" s="24" t="str">
        <x:v>https://quran.com/16/74</x:v>
      </x:c>
      <x:c r="I97" s="24" t="str">
        <x:v>https://quran.com/2/26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3" hidden="0" customWidth="1"/>
    <x:col min="4" max="4" width="13" hidden="0" customWidth="1"/>
    <x:col min="5" max="5" width="61" hidden="0" customWidth="1"/>
    <x:col min="6" max="6" width="61" hidden="0" customWidth="1"/>
    <x:col min="7" max="7" width="44" hidden="0" customWidth="1"/>
    <x:col min="8" max="8" width="26" hidden="0" customWidth="1"/>
    <x:col min="9" max="9" width="43" hidden="0" customWidth="1"/>
    <x:col min="10" max="10" width="43" hidden="0" customWidth="1"/>
  </x:cols>
  <x:sheetData>
    <x:row r="1" ht="32" customHeight="1">
      <x:c r="A1" s="6" t="str">
        <x:v>ID</x:v>
      </x:c>
      <x:c r="B1" s="6" t="str">
        <x:v>Question</x:v>
      </x:c>
      <x:c r="C1" s="6" t="str">
        <x:v>Original</x:v>
      </x:c>
      <x:c r="D1" s="6" t="str">
        <x:v>Revised</x:v>
      </x:c>
      <x:c r="E1" s="6" t="str">
        <x:v>Minimum coherence model</x:v>
      </x:c>
      <x:c r="F1" s="6" t="str">
        <x:v>Further assumptions to determine meaning</x:v>
      </x:c>
      <x:c r="G1" s="6" t="str">
        <x:v>Outcome / distinction</x:v>
      </x:c>
      <x:c r="H1" s="6" t="str">
        <x:v>Review strength</x:v>
      </x:c>
      <x:c r="I1" s="6" t="str">
        <x:v>Primary or scholarly source 1</x:v>
      </x:c>
      <x:c r="J1" s="6" t="str">
        <x:v>Source 2</x:v>
      </x:c>
    </x:row>
    <x:row r="2" ht="79" customHeight="1">
      <x:c r="A2" s="24" t="str">
        <x:v>IK-027</x:v>
      </x:c>
      <x:c r="B2" s="24" t="str">
        <x:v>Muhammad first Muslim</x:v>
      </x:c>
      <x:c r="C2" s="24" t="str">
        <x:v>T</x:v>
      </x:c>
      <x:c r="D2" s="28" t="str">
        <x:v>Q</x:v>
      </x:c>
      <x:c r="E2" s="24" t="str">
        <x:v>Earlier prophets explicitly Muslim; 'first' cannot carry an unlimited historical domain if all verses are held together.</x:v>
      </x:c>
      <x:c r="F2" s="24" t="str">
        <x:v>Particular domain = this ummah is supplied by Qatāda, not by the verse.</x:v>
      </x:c>
      <x:c r="G2" s="24" t="str">
        <x:v>Cross-verse consistency; scope selection undecided</x:v>
      </x:c>
      <x:c r="H2" s="24" t="str">
        <x:v>Moderate</x:v>
      </x:c>
      <x:c r="I2" s="24" t="str">
        <x:v>https://corpus.quran.com/translation.jsp?chapter=3&amp;verse=67</x:v>
      </x:c>
      <x:c r="J2" s="24" t="str">
        <x:v>https://quran.ksu.edu.sa/tafseer/tabary/sura6-aya163.html</x:v>
      </x:c>
    </x:row>
    <x:row r="3" ht="79" customHeight="1">
      <x:c r="A3" s="24" t="str">
        <x:v>IK-042</x:v>
      </x:c>
      <x:c r="B3" s="24" t="str">
        <x:v>Bequests vs fixed shares</x:v>
      </x:c>
      <x:c r="C3" s="24" t="str">
        <x:v>T</x:v>
      </x:c>
      <x:c r="D3" s="28" t="str">
        <x:v>Q</x:v>
      </x:c>
      <x:c r="E3" s="24" t="str">
        <x:v>2:180 calls for fair bequests; 4:11 computes inheritance after a bequest or debt. Both provisions can coexist.</x:v>
      </x:c>
      <x:c r="F3" s="24" t="str">
        <x:v>Ban on bequests to heirs and one-third cap are juristic selections, not required for bare consistency.</x:v>
      </x:c>
      <x:c r="G3" s="24" t="str">
        <x:v>Qur'anic coexistence; complete estate law requires rules</x:v>
      </x:c>
      <x:c r="H3" s="24" t="str">
        <x:v>High for minimal consistency</x:v>
      </x:c>
      <x:c r="I3" s="24" t="str">
        <x:v>https://corpus.quran.com/translation.jsp?chapter=2&amp;verse=180</x:v>
      </x:c>
      <x:c r="J3" s="24" t="str">
        <x:v>https://nes.princeton.edu/publications/inheritance</x:v>
      </x:c>
    </x:row>
    <x:row r="4" ht="79" customHeight="1">
      <x:c r="A4" s="24" t="str">
        <x:v>IK-045</x:v>
      </x:c>
      <x:c r="B4" s="24" t="str">
        <x:v>Sacred months and combat</x:v>
      </x:c>
      <x:c r="C4" s="24" t="str">
        <x:v>T</x:v>
      </x:c>
      <x:c r="D4" s="28" t="str">
        <x:v>Q</x:v>
      </x:c>
      <x:c r="E4" s="24" t="str">
        <x:v>2:217 treats fighting in a sacred month as grave; 9:5 refers to combat after months expire, while 9:36 still recognizes four sacred months.</x:v>
      </x:c>
      <x:c r="F4" s="24" t="str">
        <x:v>Determining a historical abrogation and precise defensive exceptions requires extra chronology and law.</x:v>
      </x:c>
      <x:c r="G4" s="24" t="str">
        <x:v>Possible joint reading; exact legal exceptions not settled</x:v>
      </x:c>
      <x:c r="H4" s="24" t="str">
        <x:v>Moderate</x:v>
      </x:c>
      <x:c r="I4" s="24" t="str">
        <x:v>https://previous.quran.com/2%3A217/tafsirs/en-tafsir-maarif-ul-quran?locale=en</x:v>
      </x:c>
      <x:c r="J4" s="24" t="str">
        <x:v>https://corpus.quran.com/translation.jsp?chapter=9&amp;verse=36</x:v>
      </x:c>
    </x:row>
    <x:row r="5" ht="79" customHeight="1">
      <x:c r="A5" s="24" t="str">
        <x:v>IK-047</x:v>
      </x:c>
      <x:c r="B5" s="24" t="str">
        <x:v>Wine judgment and ban</x:v>
      </x:c>
      <x:c r="C5" s="24" t="str">
        <x:v>T</x:v>
      </x:c>
      <x:c r="D5" s="28" t="str">
        <x:v>Q</x:v>
      </x:c>
      <x:c r="E5" s="24" t="str">
        <x:v>2:219 says harm outweighs benefit without legalizing wine; 4:43 prohibits prayer while intoxicated; 5:90 orders avoidance.</x:v>
      </x:c>
      <x:c r="F5" s="24" t="str">
        <x:v>Historical sequencing and when a ban took effect are extra-Q questions.</x:v>
      </x:c>
      <x:c r="G5" s="24" t="str">
        <x:v>Compatible norms; historical sequence separate</x:v>
      </x:c>
      <x:c r="H5" s="24" t="str">
        <x:v>High</x:v>
      </x:c>
      <x:c r="I5" s="24" t="str">
        <x:v>https://previous.quran.com/2%3A219/tafsirs/en-tafsir-maarif-ul-quran</x:v>
      </x:c>
      <x:c r="J5" s="24" t="str">
        <x:v>https://quran.com/5/90</x:v>
      </x:c>
    </x:row>
    <x:row r="6" ht="79" customHeight="1">
      <x:c r="A6" s="24" t="str">
        <x:v>IK-058</x:v>
      </x:c>
      <x:c r="B6" s="24" t="str">
        <x:v>Prophet marriage permissions</x:v>
      </x:c>
      <x:c r="C6" s="24" t="str">
        <x:v>T</x:v>
      </x:c>
      <x:c r="D6" s="28" t="str">
        <x:v>S</x:v>
      </x:c>
      <x:c r="E6" s="24" t="str">
        <x:v>33:50 identifies eligible categories; 33:52 restricts later additions with min ba'd. Permission need not guarantee indefinite availability.</x:v>
      </x:c>
      <x:c r="F6" s="24" t="str">
        <x:v>Specific order of revelations matters only if reconstructing biography or abrogation.</x:v>
      </x:c>
      <x:c r="G6" s="24" t="str">
        <x:v>Sequential restriction internal</x:v>
      </x:c>
      <x:c r="H6" s="24" t="str">
        <x:v>High</x:v>
      </x:c>
      <x:c r="I6" s="24" t="str">
        <x:v>https://www.islamicstudies.info/tafheem.php?sura=33&amp;to=52&amp;verse=50</x:v>
      </x:c>
      <x:c r="J6" s="24" t="str">
        <x:v>https://quran.com/33/52/tafsirs</x:v>
      </x:c>
    </x:row>
    <x:row r="7" ht="79" customHeight="1">
      <x:c r="A7" s="24" t="str">
        <x:v>IK-085</x:v>
      </x:c>
      <x:c r="B7" s="24" t="str">
        <x:v>Angels: 1000/3000/5000</x:v>
      </x:c>
      <x:c r="C7" s="24" t="str">
        <x:v>T</x:v>
      </x:c>
      <x:c r="D7" s="28" t="str">
        <x:v>Q</x:v>
      </x:c>
      <x:c r="E7" s="24" t="str">
        <x:v>8:9 promises 1000; 3:124 queries sufficiency of 3000; 3:125 adds an explicit condition to 5000.</x:v>
      </x:c>
      <x:c r="F7" s="24" t="str">
        <x:v>Which battle, whether reinforcement was cumulative and what happened require sira.</x:v>
      </x:c>
      <x:c r="G7" s="24" t="str">
        <x:v>Numerical propositions are compatible; event history separate</x:v>
      </x:c>
      <x:c r="H7" s="24" t="str">
        <x:v>High</x:v>
      </x:c>
      <x:c r="I7" s="24" t="str">
        <x:v>https://corpus.quran.com/translation.jsp?chapter=8&amp;verse=9</x:v>
      </x:c>
      <x:c r="J7" s="24" t="str">
        <x:v>https://corpus.quran.com/translation.jsp?chapter=3&amp;verse=125</x:v>
      </x:c>
    </x:row>
    <x:row r="8" ht="79" customHeight="1">
      <x:c r="A8" s="24" t="str">
        <x:v>IK-091</x:v>
      </x:c>
      <x:c r="B8" s="24" t="str">
        <x:v>Shu'ayb: Midian and thicket</x:v>
      </x:c>
      <x:c r="C8" s="24" t="str">
        <x:v>T</x:v>
      </x:c>
      <x:c r="D8" s="28" t="str">
        <x:v>Q</x:v>
      </x:c>
      <x:c r="E8" s="24" t="str">
        <x:v>26:177 addresses Shuaib to People of Thicket; elsewhere he addresses Midian. One messenger can address multiple groups; identity need not be fixed.</x:v>
      </x:c>
      <x:c r="F8" s="24" t="str">
        <x:v>Whether the two names designate one settlement, two groups or overlapping audiences needs historical identification.</x:v>
      </x:c>
      <x:c r="G8" s="24" t="str">
        <x:v>Consistent under multiple identities; referent unresolved</x:v>
      </x:c>
      <x:c r="H8" s="24" t="str">
        <x:v>Moderate</x:v>
      </x:c>
      <x:c r="I8" s="24" t="str">
        <x:v>https://www.islamicstudies.info/tafheem.php?sura=26&amp;to=191&amp;verse=176</x:v>
      </x:c>
      <x:c r="J8" s="24" t="str">
        <x:v>https://quran.com/7/85</x:v>
      </x:c>
    </x:row>
    <x:row r="9" ht="79" customHeight="1">
      <x:c r="A9" s="24" t="str">
        <x:v>IK-038</x:v>
      </x:c>
      <x:c r="B9" s="24" t="str">
        <x:v>People's tongue vs universal address</x:v>
      </x:c>
      <x:c r="C9" s="24" t="str">
        <x:v>U</x:v>
      </x:c>
      <x:c r="D9" s="28" t="str">
        <x:v>Q</x:v>
      </x:c>
      <x:c r="E9" s="24" t="str">
        <x:v>14:4 requires the messenger's message to his people be in their language; 7:158 gives Muhammad a universal commission. Communication can spread beyond initial speech community.</x:v>
      </x:c>
      <x:c r="F9" s="24" t="str">
        <x:v>Full theory of translated message, later universality and effective understanding needs further reasoning.</x:v>
      </x:c>
      <x:c r="G9" s="24" t="str">
        <x:v>Compatibility strong; operational universality open</x:v>
      </x:c>
      <x:c r="H9" s="24" t="str">
        <x:v>High</x:v>
      </x:c>
      <x:c r="I9" s="24" t="str">
        <x:v>https://corpus.quran.com/translation.jsp?chapter=014&amp;verse=004</x:v>
      </x:c>
      <x:c r="J9" s="24" t="str">
        <x:v>https://corpus.quran.com/translation.jsp?chapter=7&amp;verse=158</x:v>
      </x:c>
    </x:row>
    <x:row r="10" ht="79" customHeight="1">
      <x:c r="A10" s="24" t="str">
        <x:v>IK-064</x:v>
      </x:c>
      <x:c r="B10" s="24" t="str">
        <x:v>1000 vs 50,000-year days</x:v>
      </x:c>
      <x:c r="C10" s="24" t="str">
        <x:v>U</x:v>
      </x:c>
      <x:c r="D10" s="28" t="str">
        <x:v>Q</x:v>
      </x:c>
      <x:c r="E10" s="24" t="str">
        <x:v>22:47 compares a divine day to 1000 human years; 32:5 gives the ascent of an affair; 70:4 names the ascent of angels and Spirit. Identical event is unstated.</x:v>
      </x:c>
      <x:c r="F10" s="24" t="str">
        <x:v>Eschatological identification of all three days imports a theory.</x:v>
      </x:c>
      <x:c r="G10" s="24" t="str">
        <x:v>Different referents stated; direct arithmetic clash fails</x:v>
      </x:c>
      <x:c r="H10" s="24" t="str">
        <x:v>High</x:v>
      </x:c>
      <x:c r="I10" s="24" t="str">
        <x:v>https://corpus.quran.com/translation.jsp?chapter=32&amp;verse=5</x:v>
      </x:c>
      <x:c r="J10" s="24" t="str">
        <x:v>https://corpus.quran.com/translation.jsp?chapter=70&amp;verse=4</x:v>
      </x:c>
    </x:row>
    <x:row r="11" ht="79" customHeight="1">
      <x:c r="A11" s="24" t="str">
        <x:v>IK-036</x:v>
      </x:c>
      <x:c r="B11" s="24" t="str">
        <x:v>Salvation across religions</x:v>
      </x:c>
      <x:c r="C11" s="24" t="str">
        <x:v>U</x:v>
      </x:c>
      <x:c r="D11" s="24" t="str">
        <x:v>U</x:v>
      </x:c>
      <x:c r="E11" s="24" t="str">
        <x:v>2:62 and 5:69 offer qualified reward; 3:85 rejects religion other than islam; 5:48 assigns different communities laws.</x:v>
      </x:c>
      <x:c r="F11" s="24" t="str">
        <x:v>Select whether 'islam' is generic surrender or bounded communal membership; pre-Muhammad date lacks explicit restriction.</x:v>
      </x:c>
      <x:c r="G11" s="24" t="str">
        <x:v>Coherent models available; referent disputed</x:v>
      </x:c>
      <x:c r="H11" s="24" t="str">
        <x:v>Open</x:v>
      </x:c>
      <x:c r="I11" s="24" t="str">
        <x:v>https://academic.oup.com/book/11275/chapter-abstract/159830288</x:v>
      </x:c>
      <x:c r="J11" s="24" t="str">
        <x:v>https://corpus.quran.com/translation.jsp?chapter=5&amp;verse=69</x:v>
      </x:c>
    </x:row>
    <x:row r="12" ht="79" customHeight="1">
      <x:c r="A12" s="24" t="str">
        <x:v>IK-059</x:v>
      </x:c>
      <x:c r="B12" s="24" t="str">
        <x:v>No inquiry vs universal questioning</x:v>
      </x:c>
      <x:c r="C12" s="24" t="str">
        <x:v>U</x:v>
      </x:c>
      <x:c r="D12" s="24" t="str">
        <x:v>U</x:v>
      </x:c>
      <x:c r="E12" s="24" t="str">
        <x:v>55:39 says none asked about sin on that day; 55:41 says culprits recognized by signs; 15:92-93 promises questioning about deeds.</x:v>
      </x:c>
      <x:c r="F12" s="24" t="str">
        <x:v>Different phases or inquiry types could reconcile, but a phase map is not stated.</x:v>
      </x:c>
      <x:c r="G12" s="24" t="str">
        <x:v>Context narrows function; exact scope open</x:v>
      </x:c>
      <x:c r="H12" s="24" t="str">
        <x:v>Open</x:v>
      </x:c>
      <x:c r="I12" s="24" t="str">
        <x:v>https://corpus.quran.com/translation.jsp?chapter=55&amp;verse=39</x:v>
      </x:c>
      <x:c r="J12" s="24" t="str">
        <x:v>https://corpus.quran.com/translation.jsp?chapter=15&amp;verse=92</x:v>
      </x:c>
    </x:row>
    <x:row r="13" ht="79" customHeight="1">
      <x:c r="A13" s="24" t="str">
        <x:v>IK-060</x:v>
      </x:c>
      <x:c r="B13" s="24" t="str">
        <x:v>No speech vs eschatological dialogues</x:v>
      </x:c>
      <x:c r="C13" s="24" t="str">
        <x:v>U</x:v>
      </x:c>
      <x:c r="D13" s="24" t="str">
        <x:v>U</x:v>
      </x:c>
      <x:c r="E13" s="24" t="str">
        <x:v>77:35-36 denies speech and excuses that day; 37:27 and 7:44 describe exchanges.</x:v>
      </x:c>
      <x:c r="F13" s="24" t="str">
        <x:v>Temporal staging or audience distinction is possible but requires a rule identifying stages.</x:v>
      </x:c>
      <x:c r="G13" s="24" t="str">
        <x:v>Plausible staging with unspecified boundaries</x:v>
      </x:c>
      <x:c r="H13" s="24" t="str">
        <x:v>Open</x:v>
      </x:c>
      <x:c r="I13" s="24" t="str">
        <x:v>https://quran.com/77/35</x:v>
      </x:c>
      <x:c r="J13" s="24" t="str">
        <x:v>https://quran.com/37/27</x:v>
      </x:c>
    </x:row>
    <x:row r="14" ht="79" customHeight="1">
      <x:c r="A14" s="24" t="str">
        <x:v>IK-073</x:v>
      </x:c>
      <x:c r="B14" s="24" t="str">
        <x:v>Shared responsibility for wrongdoing</x:v>
      </x:c>
      <x:c r="C14" s="24" t="str">
        <x:v>U</x:v>
      </x:c>
      <x:c r="D14" s="24" t="str">
        <x:v>U</x:v>
      </x:c>
      <x:c r="E14" s="24" t="str">
        <x:v>29:12 denies carrying others' sins in substitution; 29:13 imposes burdens in addition. 16:25 uses possessive phrasing for misled persons' burdens.</x:v>
      </x:c>
      <x:c r="F14" s="24" t="str">
        <x:v>Causal joint liability can avoid transfer of guilt; exact meaning of possessive burdens remains disputable.</x:v>
      </x:c>
      <x:c r="G14" s="24" t="str">
        <x:v>Joint responsibility model plausible; semantics open</x:v>
      </x:c>
      <x:c r="H14" s="24" t="str">
        <x:v>Moderate</x:v>
      </x:c>
      <x:c r="I14" s="24" t="str">
        <x:v>https://corpus.quran.com/translation.jsp?chapter=29&amp;verse=12</x:v>
      </x:c>
      <x:c r="J14" s="24" t="str">
        <x:v>https://corpus.quran.com/translation.jsp?chapter=29&amp;verse=13</x:v>
      </x:c>
    </x:row>
    <x:row r="15" ht="79" customHeight="1">
      <x:c r="A15" s="24" t="str">
        <x:v>IK-014</x:v>
      </x:c>
      <x:c r="B15" s="24" t="str">
        <x:v>Divine guidance and accountability</x:v>
      </x:c>
      <x:c r="C15" s="24" t="str">
        <x:v>U</x:v>
      </x:c>
      <x:c r="D15" s="24" t="str">
        <x:v>U</x:v>
      </x:c>
      <x:c r="E15" s="24" t="str">
        <x:v>16:93 has divine choice and human questioning together; 2:26 says He misguides thereby only the defiantly disobedient.</x:v>
      </x:c>
      <x:c r="F15" s="24" t="str">
        <x:v>Model of causation and moral responsibility required to move from consistency to justice.</x:v>
      </x:c>
      <x:c r="G15" s="24" t="str">
        <x:v>Logical compatibility is easier than justifying justice</x:v>
      </x:c>
      <x:c r="H15" s="24" t="str">
        <x:v>Open</x:v>
      </x:c>
      <x:c r="I15" s="24" t="str">
        <x:v>https://corpus.quran.com/translation.jsp?chapter=16&amp;verse=93</x:v>
      </x:c>
      <x:c r="J15" s="24" t="str">
        <x:v>https://corpus.quran.com/translation.jsp?chapter=2&amp;verse=26</x:v>
      </x:c>
    </x:row>
    <x:row r="16" ht="79" customHeight="1">
      <x:c r="A16" s="24" t="str">
        <x:v>IK-044</x:v>
      </x:c>
      <x:c r="B16" s="24" t="str">
        <x:v>Inheritance over-allocation</x:v>
      </x:c>
      <x:c r="C16" s="24" t="str">
        <x:v>U</x:v>
      </x:c>
      <x:c r="D16" s="24" t="str">
        <x:v>U</x:v>
      </x:c>
      <x:c r="E16" s="24" t="str">
        <x:v>4:11-12 prima facie fixed shares can sum to 27/24 for spouse, parents and two daughters.</x:v>
      </x:c>
      <x:c r="F16" s="24" t="str">
        <x:v>Allocation adjustment/priority algorithm needed for conflicting entitlements; empirical prevalence separate.</x:v>
      </x:c>
      <x:c r="G16" s="24" t="str">
        <x:v>Genuine legal underspecification in edge cases</x:v>
      </x:c>
      <x:c r="H16" s="24" t="str">
        <x:v>High arithmetic; open legal repair</x:v>
      </x:c>
      <x:c r="I16" s="24" t="str">
        <x:v>https://corpus.quran.com/translation.jsp?chapter=4&amp;verse=11</x:v>
      </x:c>
      <x:c r="J16" s="24" t="str">
        <x:v>https://quran.com/4/12</x:v>
      </x:c>
    </x:row>
    <x:row r="17" ht="79" customHeight="1">
      <x:c r="A17" s="24" t="str">
        <x:v>IK-066</x:v>
      </x:c>
      <x:c r="B17" s="24" t="str">
        <x:v>Eternal punishment and divine exception</x:v>
      </x:c>
      <x:c r="C17" s="24" t="str">
        <x:v>U</x:v>
      </x:c>
      <x:c r="D17" s="24" t="str">
        <x:v>U</x:v>
      </x:c>
      <x:c r="E17" s="24" t="str">
        <x:v>11:107 reserves 'except as your Lord wills' against indefinite abiding; 4:169 speaks of continued punishment.</x:v>
      </x:c>
      <x:c r="F17" s="24" t="str">
        <x:v>Whether sovereign reservation is exercised, and for whom, remain undetermined.</x:v>
      </x:c>
      <x:c r="G17" s="24" t="str">
        <x:v>Logical compatibility; theology unsettled</x:v>
      </x:c>
      <x:c r="H17" s="24" t="str">
        <x:v>Open</x:v>
      </x:c>
      <x:c r="I17" s="24" t="str">
        <x:v>https://quran.com/11/107</x:v>
      </x:c>
      <x:c r="J17" s="24" t="str">
        <x:v>https://quran.com/4/169</x:v>
      </x:c>
    </x:row>
    <x:row r="18" ht="79" customHeight="1">
      <x:c r="A18" s="24" t="str">
        <x:v>IK-081</x:v>
      </x:c>
      <x:c r="B18" s="24" t="str">
        <x:v>Noah's surviving descendants</x:v>
      </x:c>
      <x:c r="C18" s="24" t="str">
        <x:v>U</x:v>
      </x:c>
      <x:c r="D18" s="24" t="str">
        <x:v>U</x:v>
      </x:c>
      <x:c r="E18" s="24" t="str">
        <x:v>37:77 privileges Noah's descendants as survivors; 11:40, 11:48 mention others aboard and future nations.</x:v>
      </x:c>
      <x:c r="F18" s="24" t="str">
        <x:v>Global vs population-local domain; lineage survival and recent bottleneck must be distinguished.</x:v>
      </x:c>
      <x:c r="G18" s="24" t="str">
        <x:v>External genetic test only after universal reading fixed</x:v>
      </x:c>
      <x:c r="H18" s="24" t="str">
        <x:v>Open</x:v>
      </x:c>
      <x:c r="I18" s="24" t="str">
        <x:v>https://corpus.quran.com/translation.jsp?chapter=37&amp;verse=77</x:v>
      </x:c>
      <x:c r="J18" s="24" t="str">
        <x:v>https://quran.com/11/48</x:v>
      </x:c>
    </x:row>
    <x:row r="19" ht="79" customHeight="1">
      <x:c r="A19" s="24" t="str">
        <x:v>IK-084</x:v>
      </x:c>
      <x:c r="B19" s="24" t="str">
        <x:v>Israel inherits Pharaoh's lands</x:v>
      </x:c>
      <x:c r="C19" s="24" t="str">
        <x:v>U</x:v>
      </x:c>
      <x:c r="D19" s="24" t="str">
        <x:v>U</x:v>
      </x:c>
      <x:c r="E19" s="24" t="str">
        <x:v>26:57-59 points to Pharaoh's possessions; 7:137 describes blessed lands; 5:21 speaks of the Holy Land.</x:v>
      </x:c>
      <x:c r="F19" s="24" t="str">
        <x:v>Geographic antecedent and chronology; an Egypt proper reading has scholarly precedent.</x:v>
      </x:c>
      <x:c r="G19" s="24" t="str">
        <x:v>Geographic reference contested, archaeology then tests it</x:v>
      </x:c>
      <x:c r="H19" s="24" t="str">
        <x:v>Open</x:v>
      </x:c>
      <x:c r="I19" s="24" t="str">
        <x:v>https://quran.com/26/59</x:v>
      </x:c>
      <x:c r="J19" s="24" t="str">
        <x:v>https://quran.com/7/137</x:v>
      </x:c>
    </x:row>
    <x:row r="20" ht="79" customHeight="1">
      <x:c r="A20" s="24" t="str">
        <x:v>IK-087</x:v>
      </x:c>
      <x:c r="B20" s="24" t="str">
        <x:v>Jesus killed/crucified</x:v>
      </x:c>
      <x:c r="C20" s="24" t="str">
        <x:v>U</x:v>
      </x:c>
      <x:c r="D20" s="24" t="str">
        <x:v>U</x:v>
      </x:c>
      <x:c r="E20" s="24" t="str">
        <x:v>4:153-159 denies opponents' killing and crucifixion; 3:55, 5:117 use tawaffa and raising vocabulary.</x:v>
      </x:c>
      <x:c r="F20" s="24" t="str">
        <x:v>Agency and global-event scope must be justified; historical crucifixion considered separately.</x:v>
      </x:c>
      <x:c r="G20" s="24" t="str">
        <x:v>Discourse helps; event commitment open</x:v>
      </x:c>
      <x:c r="H20" s="24" t="str">
        <x:v>Open</x:v>
      </x:c>
      <x:c r="I20" s="24" t="str">
        <x:v>https://quran.com/4/157</x:v>
      </x:c>
      <x:c r="J20" s="24" t="str">
        <x:v>https://quran.com/3/55</x:v>
      </x:c>
    </x:row>
    <x:row r="21" ht="79" customHeight="1">
      <x:c r="A21" s="24" t="str">
        <x:v>IK-004</x:v>
      </x:c>
      <x:c r="B21" s="24" t="str">
        <x:v>All things created in pairs</x:v>
      </x:c>
      <x:c r="C21" s="24" t="str">
        <x:v>U</x:v>
      </x:c>
      <x:c r="D21" s="24" t="str">
        <x:v>U</x:v>
      </x:c>
      <x:c r="E21" s="24" t="str">
        <x:v>51:49 makes a universal pairing claim; 36:36 expands examples.</x:v>
      </x:c>
      <x:c r="F21" s="24" t="str">
        <x:v>Specify a principled meaning of zawj and a fixed pairing relation before testing.</x:v>
      </x:c>
      <x:c r="G21" s="24" t="str">
        <x:v>Asexual counterexample applies only to sexual reading</x:v>
      </x:c>
      <x:c r="H21" s="24" t="str">
        <x:v>Open</x:v>
      </x:c>
      <x:c r="I21" s="24" t="str">
        <x:v>https://quran.com/51/49</x:v>
      </x:c>
      <x:c r="J21" s="24" t="str">
        <x:v>https://quran.com/36/36</x:v>
      </x:c>
    </x:row>
    <x:row r="22" ht="79" customHeight="1">
      <x:c r="A22" s="24" t="str">
        <x:v>IK-039</x:v>
      </x:c>
      <x:c r="B22" s="24" t="str">
        <x:v>No compulsion and fighting</x:v>
      </x:c>
      <x:c r="C22" s="24" t="str">
        <x:v>U</x:v>
      </x:c>
      <x:c r="D22" s="24" t="str">
        <x:v>U</x:v>
      </x:c>
      <x:c r="E22" s="24" t="str">
        <x:v>2:256 governs religious compulsion; 9:4-6 distinguishes treaties and asylum; 9:29 imposes tribute after fighting.</x:v>
      </x:c>
      <x:c r="F22" s="24" t="str">
        <x:v>Define religious compulsion vs military/political subjection; ultimate legal reach remains contested.</x:v>
      </x:c>
      <x:c r="G22" s="24" t="str">
        <x:v>No simple propositional negation; legal tension persists</x:v>
      </x:c>
      <x:c r="H22" s="24" t="str">
        <x:v>Open</x:v>
      </x:c>
      <x:c r="I22" s="24" t="str">
        <x:v>https://quran.com/2/256</x:v>
      </x:c>
      <x:c r="J22" s="24" t="str">
        <x:v>https://quran.com/9/29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4" hidden="0" customWidth="1"/>
  </x:cols>
  <x:sheetData>
    <x:row r="1" ht="32" customHeight="1">
      <x:c r="A1" s="6" t="str">
        <x:v>Interpretation audit dimension</x:v>
      </x:c>
      <x:c r="B1" s="6" t="str">
        <x:v>Definition / limitation</x:v>
      </x:c>
    </x:row>
    <x:row r="2" ht="46" customHeight="1">
      <x:c r="A2" s="24" t="str">
        <x:v>Scope</x:v>
      </x:c>
      <x:c r="B2" s="24" t="str">
        <x:v>96 curated *candidate* conflict clusters from the prior v0.5 registry; no claim of exhaustive enumeration.</x:v>
      </x:c>
    </x:row>
    <x:row r="3" ht="46" customHeight="1">
      <x:c r="A3" s="24" t="str">
        <x:v>Reclassification</x:v>
      </x:c>
      <x:c r="B3" s="24" t="str">
        <x:v>9 entries changed with explicit primary-text rationale. Other 87 retain editorial v0.5 route.</x:v>
      </x:c>
    </x:row>
    <x:row r="4" ht="46" customHeight="1">
      <x:c r="A4" s="24" t="str">
        <x:v>S</x:v>
      </x:c>
      <x:c r="B4" s="24" t="str">
        <x:v>An explicit restriction or logical distinction in one contiguous Arabic passage is sufficient for a consistent reading.</x:v>
      </x:c>
    </x:row>
    <x:row r="5" ht="46" customHeight="1">
      <x:c r="A5" s="24" t="str">
        <x:v>Q</x:v>
      </x:c>
      <x:c r="B5" s="24" t="str">
        <x:v>Other Qur'anic material supplies a plausible restriction, exception or difference in referent.</x:v>
      </x:c>
    </x:row>
    <x:row r="6" ht="46" customHeight="1">
      <x:c r="A6" s="24" t="str">
        <x:v>L</x:v>
      </x:c>
      <x:c r="B6" s="24" t="str">
        <x:v>Lexical or pragmatic ambiguity must be resolved using Arabic linguistic conventions.</x:v>
      </x:c>
    </x:row>
    <x:row r="7" ht="46" customHeight="1">
      <x:c r="A7" s="24" t="str">
        <x:v>T</x:v>
      </x:c>
      <x:c r="B7" s="24" t="str">
        <x:v>An independently supplied report, extra-Quranic historical referent or chronology is necessary even to build a coherent reading.</x:v>
      </x:c>
    </x:row>
    <x:row r="8" ht="46" customHeight="1">
      <x:c r="A8" s="24" t="str">
        <x:v>U</x:v>
      </x:c>
      <x:c r="B8" s="24" t="str">
        <x:v>A narrow model may exist; competing meanings are not fixed, or a material legal/metaphysical inconsistency remains.</x:v>
      </x:c>
    </x:row>
    <x:row r="9" ht="46" customHeight="1">
      <x:c r="A9" s="24" t="str">
        <x:v>Coherence test</x:v>
      </x:c>
      <x:c r="B9" s="24" t="str">
        <x:v>Does at least one consistent reading satisfy all the cited statements with stable meanings and no unsupported exceptions?</x:v>
      </x:c>
    </x:row>
    <x:row r="10" ht="46" customHeight="1">
      <x:c r="A10" s="24" t="str">
        <x:v>Intent test</x:v>
      </x:c>
      <x:c r="B10" s="24" t="str">
        <x:v>What evidence independently supports selecting that specific reading as intended rather than merely possible?</x:v>
      </x:c>
    </x:row>
    <x:row r="11" ht="46" customHeight="1">
      <x:c r="A11" s="24" t="str">
        <x:v>External evidence</x:v>
      </x:c>
      <x:c r="B11" s="24" t="str">
        <x:v>Normal Arabic language knowledge is categorically distinct from sectarian chronology, reports, or extra-Quranic legal algorithms.</x:v>
      </x:c>
    </x:row>
    <x:row r="12" ht="46" customHeight="1">
      <x:c r="A12" s="24" t="str">
        <x:v>Model selection</x:v>
      </x:c>
      <x:c r="B12" s="24" t="str">
        <x:v>Do not credit ad hoc redefinition of terms independently for each verse. Apply consistent lexeme, audience, time, and modal rules.</x:v>
      </x:c>
    </x:row>
    <x:row r="13" ht="46" customHeight="1">
      <x:c r="A13" s="24" t="str">
        <x:v>Count caution</x:v>
      </x:c>
      <x:c r="B13" s="24" t="str">
        <x:v>No number here measures the probability of divine origin, frequency in Qur'anic verse space, or number of real contradictions.</x:v>
      </x:c>
    </x:row>
    <x:row r="14" ht="46" customHeight="1">
      <x:c r="A14" s="24" t="str">
        <x:v>Research priority</x:v>
      </x:c>
      <x:c r="B14" s="24" t="str">
        <x:v>IK-036, IK-044, IK-059, IK-073, IK-014 and IK-084; independently audit original Arabic + opposing scholarly interpretations.</x:v>
      </x:c>
    </x:row>
    <x:row r="15" ht="46" customHeight="1">
      <x:c r="A15" s="24" t="str">
        <x:v>Version date</x:v>
      </x:c>
      <x:c r="B15" s="24" t="str">
        <x:v>2026-10-24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5" hidden="0" customWidth="1"/>
    <x:col min="4" max="4" width="47" hidden="0" customWidth="1"/>
    <x:col min="5" max="5" width="49" hidden="0" customWidth="1"/>
    <x:col min="6" max="6" width="46" hidden="0" customWidth="1"/>
    <x:col min="7" max="7" width="46" hidden="0" customWidth="1"/>
    <x:col min="8" max="8" width="27" hidden="0" customWidth="1"/>
    <x:col min="9" max="9" width="54" hidden="0" customWidth="1"/>
  </x:cols>
  <x:sheetData>
    <x:row r="1" ht="32" customHeight="1">
      <x:c r="A1" s="36" t="str">
        <x:v>Cluster</x:v>
      </x:c>
      <x:c r="B1" s="36" t="str">
        <x:v>Conflict type</x:v>
      </x:c>
      <x:c r="C1" s="36" t="str">
        <x:v>Maximal contradiction</x:v>
      </x:c>
      <x:c r="D1" s="36" t="str">
        <x:v>Minimum coherent interpretation</x:v>
      </x:c>
      <x:c r="E1" s="36" t="str">
        <x:v>Qur'anic grounds</x:v>
      </x:c>
      <x:c r="F1" s="36" t="str">
        <x:v>Added premise</x:v>
      </x:c>
      <x:c r="G1" s="36" t="str">
        <x:v>Still not established</x:v>
      </x:c>
      <x:c r="H1" s="36" t="str">
        <x:v>Classification</x:v>
      </x:c>
      <x:c r="I1" s="36" t="str">
        <x:v>Key source URL</x:v>
      </x:c>
    </x:row>
    <x:row r="2" ht="112" customHeight="1">
      <x:c r="A2" s="24" t="str">
        <x:v>IK-059</x:v>
      </x:c>
      <x:c r="B2" s="24" t="str">
        <x:v>Questioning / judgment</x:v>
      </x:c>
      <x:c r="C2" s="24" t="str">
        <x:v>55:39 forbids all questions about sin, 15:92–93 and 37:24 require them at Judgment.</x:v>
      </x:c>
      <x:c r="D2" s="24" t="str">
        <x:v>Questions verifying identity/guilt are absent; questions demanding account may occur.</x:v>
      </x:c>
      <x:c r="E2" s="24" t="str">
        <x:v>55:41 criminals recognized by marks; 15:92 'them' follows 15:90–91; 37:24 refers wrongdoers.</x:v>
      </x:c>
      <x:c r="F2" s="24" t="str">
        <x:v>Restrict passive negation by interrogator or purpose. No explicit universal schedule.</x:v>
      </x:c>
      <x:c r="G2" s="24" t="str">
        <x:v>Whether the Qur'an licenses a distinction of question modes rather than implicit unlimited negation.</x:v>
      </x:c>
      <x:c r="H2" s="24" t="str">
        <x:v>Q + pragmatic scope; selection unsettled</x:v>
      </x:c>
      <x:c r="I2" s="24" t="str">
        <x:v>https://quran.ksu.edu.sa/tafseer/katheer/sura55-aya39.html</x:v>
      </x:c>
    </x:row>
    <x:row r="3" ht="112" customHeight="1">
      <x:c r="A3" s="24" t="str">
        <x:v>IK-036</x:v>
      </x:c>
      <x:c r="B3" s="24" t="str">
        <x:v>Salvation / set membership</x:v>
      </x:c>
      <x:c r="C3" s="24" t="str">
        <x:v>A qualifying Jewish/Christian/Sabian satisfies 2:62 and 5:69 yet 'seeks other than Islam' under 3:85.</x:v>
      </x:c>
      <x:c r="D3" s="24" t="str">
        <x:v>Rewarded qualifying persons satisfy al-islam understood as surrender and appropriate receptivity to divine messengers.</x:v>
      </x:c>
      <x:c r="E3" s="24" t="str">
        <x:v>2:111–112 rejects exclusivist labels; 3:84 precedes 3:85; 4:150–152 requires respect for messengers; 5:68–75.</x:v>
      </x:c>
      <x:c r="F3" s="24" t="str">
        <x:v>The inference G⊆I requires thick semantics of belief; a universal pre-Muhammad cutoff requires extra history.</x:v>
      </x:c>
      <x:c r="G3" s="24" t="str">
        <x:v>How God evaluates someone who recognizes an authentic message vs someone without warranted access to it.</x:v>
      </x:c>
      <x:c r="H3" s="24" t="str">
        <x:v>Q context; extension contested</x:v>
      </x:c>
      <x:c r="I3" s="24" t="str">
        <x:v>https://academic.oup.com/book/11275/chapter-abstract/159830288</x:v>
      </x:c>
    </x:row>
    <x:row r="4" ht="112" customHeight="1">
      <x:c r="A4" s="24" t="str">
        <x:v>IK-073</x:v>
      </x:c>
      <x:c r="B4" s="24" t="str">
        <x:v>Shared burden / moral attribution</x:v>
      </x:c>
      <x:c r="C4" s="24" t="str">
        <x:v>6:164 prohibits any bearer carrying another's guilt; 16:25 describes part of misled peoples' burdens.</x:v>
      </x:c>
      <x:c r="D4" s="24" t="str">
        <x:v>For one harm e, misleading produces A's own guilt token; following produces B's own token; neither token transfers.</x:v>
      </x:c>
      <x:c r="E4" s="24" t="str">
        <x:v>29:12 rejects the proposed transfer in one sentence and 29:13 assigns additional burdens in the next.</x:v>
      </x:c>
      <x:c r="F4" s="24" t="str">
        <x:v>Need interpret 'min awzar alladhina' as participation in causal liability, not transfer of identical debt token.</x:v>
      </x:c>
      <x:c r="G4" s="24" t="str">
        <x:v>Whether 16:25's possessive and partitive syntax sustains shared event responsibility without transfer.</x:v>
      </x:c>
      <x:c r="H4" s="24" t="str">
        <x:v>Q context + lexical cost; selection contested</x:v>
      </x:c>
      <x:c r="I4" s="24" t="str">
        <x:v>https://quran.com/ar/an-nahl/25/tafsirs/ar-tafsir-jalalayn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62" hidden="0" customWidth="1"/>
    <x:col min="4" max="4" width="14" hidden="0" customWidth="1"/>
    <x:col min="5" max="5" width="14" hidden="0" customWidth="1"/>
    <x:col min="6" max="6" width="56" hidden="0" customWidth="1"/>
  </x:cols>
  <x:sheetData>
    <x:row r="1" ht="32" customHeight="1">
      <x:c r="A1" s="35" t="str">
        <x:v>Test ID</x:v>
      </x:c>
      <x:c r="B1" s="35" t="str">
        <x:v>Target</x:v>
      </x:c>
      <x:c r="C1" s="35" t="str">
        <x:v>Premises tested</x:v>
      </x:c>
      <x:c r="D1" s="35" t="str">
        <x:v>Expected</x:v>
      </x:c>
      <x:c r="E1" s="35" t="str">
        <x:v>Actual</x:v>
      </x:c>
      <x:c r="F1" s="35" t="str">
        <x:v>What result establishes</x:v>
      </x:c>
    </x:row>
    <x:row r="2" ht="41" customHeight="1">
      <x:c r="A2" s="24" t="str">
        <x:v>J-1</x:v>
      </x:c>
      <x:c r="B2" s="24" t="str">
        <x:v>IK-059</x:v>
      </x:c>
      <x:c r="C2" s="24" t="str">
        <x:v>No discovery question; yes accountability question</x:v>
      </x:c>
      <x:c r="D2" s="24" t="str">
        <x:v>SAT</x:v>
      </x:c>
      <x:c r="E2" s="37" t="str">
        <x:v>SAT</x:v>
      </x:c>
      <x:c r="F2" s="24" t="str">
        <x:v>Typed question modes can coexist</x:v>
      </x:c>
    </x:row>
    <x:row r="3" ht="41" customHeight="1">
      <x:c r="A3" s="24" t="str">
        <x:v>J-2</x:v>
      </x:c>
      <x:c r="B3" s="24" t="str">
        <x:v>IK-059</x:v>
      </x:c>
      <x:c r="C3" s="24" t="str">
        <x:v>Same question predicate required in both verses</x:v>
      </x:c>
      <x:c r="D3" s="24" t="str">
        <x:v>UNSAT</x:v>
      </x:c>
      <x:c r="E3" s="37" t="str">
        <x:v>UNSAT</x:v>
      </x:c>
      <x:c r="F3" s="24" t="str">
        <x:v>Untyped literal maximal reading conflicts</x:v>
      </x:c>
    </x:row>
    <x:row r="4" ht="41" customHeight="1">
      <x:c r="A4" s="24" t="str">
        <x:v>S-1</x:v>
      </x:c>
      <x:c r="B4" s="24" t="str">
        <x:v>IK-036</x:v>
      </x:c>
      <x:c r="C4" s="24" t="str">
        <x:v>Qualifies; submits; gets rewarded and accepted</x:v>
      </x:c>
      <x:c r="D4" s="24" t="str">
        <x:v>SAT</x:v>
      </x:c>
      <x:c r="E4" s="37" t="str">
        <x:v>SAT</x:v>
      </x:c>
      <x:c r="F4" s="24" t="str">
        <x:v>A non-vacuous satisfying witness exists</x:v>
      </x:c>
    </x:row>
    <x:row r="5" ht="41" customHeight="1">
      <x:c r="A5" s="24" t="str">
        <x:v>S-2</x:v>
      </x:c>
      <x:c r="B5" s="24" t="str">
        <x:v>IK-036</x:v>
      </x:c>
      <x:c r="C5" s="24" t="str">
        <x:v>Qualifies; does not submit; reward implies acceptance</x:v>
      </x:c>
      <x:c r="D5" s="24" t="str">
        <x:v>UNSAT</x:v>
      </x:c>
      <x:c r="E5" s="37" t="str">
        <x:v>UNSAT</x:v>
      </x:c>
      <x:c r="F5" s="24" t="str">
        <x:v>Requires G⊆I (or changed semantics)</x:v>
      </x:c>
    </x:row>
    <x:row r="6" ht="41" customHeight="1">
      <x:c r="A6" s="24" t="str">
        <x:v>B-1</x:v>
      </x:c>
      <x:c r="B6" s="24" t="str">
        <x:v>IK-073</x:v>
      </x:c>
      <x:c r="C6" s="24" t="str">
        <x:v>No transfer; leads astray; incurs additional guilt</x:v>
      </x:c>
      <x:c r="D6" s="24" t="str">
        <x:v>SAT</x:v>
      </x:c>
      <x:c r="E6" s="37" t="str">
        <x:v>SAT</x:v>
      </x:c>
      <x:c r="F6" s="24" t="str">
        <x:v>Additional causal liability need not transfer a token</x:v>
      </x:c>
    </x:row>
    <x:row r="7" ht="41" customHeight="1">
      <x:c r="A7" s="24" t="str">
        <x:v>B-2</x:v>
      </x:c>
      <x:c r="B7" s="24" t="str">
        <x:v>IK-073</x:v>
      </x:c>
      <x:c r="C7" s="24" t="str">
        <x:v>Extra guilt equated to a transferred guilt token</x:v>
      </x:c>
      <x:c r="D7" s="24" t="str">
        <x:v>UNSAT</x:v>
      </x:c>
      <x:c r="E7" s="37" t="str">
        <x:v>UNSAT</x:v>
      </x:c>
      <x:c r="F7" s="24" t="str">
        <x:v>Token identity reading conflicts with no transfer</x:v>
      </x:c>
    </x:row>
    <x:row r="8" ht="41" customHeight="1">
      <x:c r="A8" s="24" t="str">
        <x:v>G-1</x:v>
      </x:c>
      <x:c r="B8" s="24" t="str">
        <x:v>Combined</x:v>
      </x:c>
      <x:c r="C8" s="24" t="str">
        <x:v>J-1 AND S-1 AND B-1</x:v>
      </x:c>
      <x:c r="D8" s="24" t="str">
        <x:v>SAT</x:v>
      </x:c>
      <x:c r="E8" s="37" t="str">
        <x:v>SAT</x:v>
      </x:c>
      <x:c r="F8" s="24" t="str">
        <x:v>One joint propositional witness; not full Qur'an proof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92" hidden="0" customWidth="1"/>
  </x:cols>
  <x:sheetData>
    <x:row r="1" ht="32" customHeight="1">
      <x:c r="A1" s="35" t="str">
        <x:v>Reference</x:v>
      </x:c>
      <x:c r="B1" s="35" t="str">
        <x:v>Source note</x:v>
      </x:c>
      <x:c r="C1" s="35" t="str">
        <x:v>URL</x:v>
      </x:c>
    </x:row>
    <x:row r="2" ht="23" customHeight="1">
      <x:c r="A2" t="str">
        <x:v>55:39</x:v>
      </x:c>
      <x:c r="B2" t="str">
        <x:v>Qur'anic wording and context</x:v>
      </x:c>
      <x:c r="C2" t="str">
        <x:v>https://quran.com/ar-rahman/39</x:v>
      </x:c>
    </x:row>
    <x:row r="3" ht="23" customHeight="1">
      <x:c r="A3" t="str">
        <x:v>55:39</x:v>
      </x:c>
      <x:c r="B3" t="str">
        <x:v>al-Tabari, several alternatives</x:v>
      </x:c>
      <x:c r="C3" t="str">
        <x:v>https://quran.ksu.edu.sa/tafseer/tabary/sura55-aya39.html</x:v>
      </x:c>
    </x:row>
    <x:row r="4" ht="23" customHeight="1">
      <x:c r="A4" t="str">
        <x:v>55:39</x:v>
      </x:c>
      <x:c r="B4" t="str">
        <x:v>Ibn Kathir: whether vs why questioning</x:v>
      </x:c>
      <x:c r="C4" t="str">
        <x:v>https://quran.ksu.edu.sa/tafseer/katheer/sura55-aya39.html</x:v>
      </x:c>
    </x:row>
    <x:row r="5" ht="23" customHeight="1">
      <x:c r="A5" t="str">
        <x:v>55:39</x:v>
      </x:c>
      <x:c r="B5" t="str">
        <x:v>al-Razi grammatical alternatives</x:v>
      </x:c>
      <x:c r="C5" t="str">
        <x:v>https://tafsir.app/alrazi/55/39</x:v>
      </x:c>
    </x:row>
    <x:row r="6" ht="23" customHeight="1">
      <x:c r="A6" t="str">
        <x:v>15:90–96</x:v>
      </x:c>
      <x:c r="B6" t="str">
        <x:v>Pronoun antecedent</x:v>
      </x:c>
      <x:c r="C6" t="str">
        <x:v>https://legacy.quran.com/15/90-96</x:v>
      </x:c>
    </x:row>
    <x:row r="7" ht="23" customHeight="1">
      <x:c r="A7" t="str">
        <x:v>37:24</x:v>
      </x:c>
      <x:c r="B7" t="str">
        <x:v>Detained to be questioned</x:v>
      </x:c>
      <x:c r="C7" t="str">
        <x:v>https://quran.com/as-saffat/21-27</x:v>
      </x:c>
    </x:row>
    <x:row r="8" ht="23" customHeight="1">
      <x:c r="A8" t="str">
        <x:v>2:62</x:v>
      </x:c>
      <x:c r="B8" t="str">
        <x:v>Primary Arabic / Taḅari</x:v>
      </x:c>
      <x:c r="C8" t="str">
        <x:v>https://quran.ksu.edu.sa/tafseer/tabary/sura2-aya62.html</x:v>
      </x:c>
    </x:row>
    <x:row r="9" ht="23" customHeight="1">
      <x:c r="A9" t="str">
        <x:v>2:62</x:v>
      </x:c>
      <x:c r="B9" t="str">
        <x:v>al-Mizan by al-Tabataba'i</x:v>
      </x:c>
      <x:c r="C9" t="str">
        <x:v>https://al-islam.org/al-mizan-exegesis-quran-volume-1-sayyid-muhammad-husayn-tabatabai/surah-al-baqarah-verse-62</x:v>
      </x:c>
    </x:row>
    <x:row r="10" ht="23" customHeight="1">
      <x:c r="A10" t="str">
        <x:v>3:81–86</x:v>
      </x:c>
      <x:c r="B10" t="str">
        <x:v>Immediate context of al-islam</x:v>
      </x:c>
      <x:c r="C10" t="str">
        <x:v>https://legacy.quran.com/3/79-85</x:v>
      </x:c>
    </x:row>
    <x:row r="11" ht="23" customHeight="1">
      <x:c r="A11" t="str">
        <x:v>5:68–75</x:v>
      </x:c>
      <x:c r="B11" t="str">
        <x:v>Nearby faith and sect references</x:v>
      </x:c>
      <x:c r="C11" t="str">
        <x:v>https://legacy.quran.com/5/69-75</x:v>
      </x:c>
    </x:row>
    <x:row r="12" ht="23" customHeight="1">
      <x:c r="A12" t="str">
        <x:v>Salvation</x:v>
      </x:c>
      <x:c r="B12" t="str">
        <x:v>Mun'im Sirry Oxford 2014</x:v>
      </x:c>
      <x:c r="C12" t="str">
        <x:v>https://academic.oup.com/book/11275/chapter-abstract/159830288</x:v>
      </x:c>
    </x:row>
    <x:row r="13" ht="23" customHeight="1">
      <x:c r="A13" t="str">
        <x:v>29:12–13</x:v>
      </x:c>
      <x:c r="B13" t="str">
        <x:v>Adjacent no-transfer and extra burden</x:v>
      </x:c>
      <x:c r="C13" t="str">
        <x:v>https://legacy.quran.com/29/12-13</x:v>
      </x:c>
    </x:row>
    <x:row r="14" ht="23" customHeight="1">
      <x:c r="A14" t="str">
        <x:v>29:13</x:v>
      </x:c>
      <x:c r="B14" t="str">
        <x:v>al-Tabari, link to 16:25</x:v>
      </x:c>
      <x:c r="C14" t="str">
        <x:v>https://quran.ksu.edu.sa/tafseer/tabary/sura29-aya13.html</x:v>
      </x:c>
    </x:row>
    <x:row r="15" ht="23" customHeight="1">
      <x:c r="A15" t="str">
        <x:v>16:25</x:v>
      </x:c>
      <x:c r="B15" t="str">
        <x:v>al-Jalalayn, shared culpability</x:v>
      </x:c>
      <x:c r="C15" t="str">
        <x:v>https://quran.com/ar/an-nahl/25/tafsirs/ar-tafsir-jalalayn</x:v>
      </x:c>
    </x:row>
    <x:row r="16" ht="23" customHeight="1">
      <x:c r="A16" t="str">
        <x:v>35:18</x:v>
      </x:c>
      <x:c r="B16" t="str">
        <x:v>No transferring burden, even relative</x:v>
      </x:c>
      <x:c r="C16" t="str">
        <x:v>https://quran.com/ar/35%3A18/tafsirs/ar-tafsir-al-tabari</x:v>
      </x:c>
    </x:row>
    <x:row r="17" ht="23" customHeight="1">
      <x:c r="A17" t="str">
        <x:v>4:150–152</x:v>
      </x:c>
      <x:c r="B17" t="str">
        <x:v>Selective rejection of messengers</x:v>
      </x:c>
      <x:c r="C17" t="str">
        <x:v>https://quran.com/an-nisa/150-170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7" hidden="0" customWidth="1"/>
    <x:col min="3" max="3" width="77" hidden="0" customWidth="1"/>
    <x:col min="4" max="4" width="28" hidden="0" customWidth="1"/>
  </x:cols>
  <x:sheetData>
    <x:row r="1" ht="32" customHeight="1">
      <x:c r="A1" s="35" t="str">
        <x:v>Rank</x:v>
      </x:c>
      <x:c r="B1" s="35" t="str">
        <x:v>Route</x:v>
      </x:c>
      <x:c r="C1" s="35" t="str">
        <x:v>Definition</x:v>
      </x:c>
      <x:c r="D1" s="35" t="str">
        <x:v>Epistemic function</x:v>
      </x:c>
    </x:row>
    <x:row r="2" ht="53" customHeight="1">
      <x:c r="A2" s="24" t="str">
        <x:v>TEXT-0</x:v>
      </x:c>
      <x:c r="B2" s="24" t="str">
        <x:v>Explicit syntax/nearby verse</x:v>
      </x:c>
      <x:c r="C2" s="24" t="str">
        <x:v>Exception, pronoun antecedent, demonstrable quantifier bound.</x:v>
      </x:c>
      <x:c r="D2" s="24" t="str">
        <x:v>Evidence</x:v>
      </x:c>
    </x:row>
    <x:row r="3" ht="53" customHeight="1">
      <x:c r="A3" s="24" t="str">
        <x:v>Q-1</x:v>
      </x:c>
      <x:c r="B3" s="24" t="str">
        <x:v>Qur'an internal cross-reference</x:v>
      </x:c>
      <x:c r="C3" s="24" t="str">
        <x:v>Same topic with lexical and contextual guardrails.</x:v>
      </x:c>
      <x:c r="D3" s="24" t="str">
        <x:v>Evidence</x:v>
      </x:c>
    </x:row>
    <x:row r="4" ht="53" customHeight="1">
      <x:c r="A4" s="24" t="str">
        <x:v>SEM-2</x:v>
      </x:c>
      <x:c r="B4" s="24" t="str">
        <x:v>Arabic/pragmatic interpretation</x:v>
      </x:c>
      <x:c r="C4" s="24" t="str">
        <x:v>Conventional semantic role, unexpressed question type, guilt token distinctness.</x:v>
      </x:c>
      <x:c r="D4" s="24" t="str">
        <x:v>Interpretive hypothesis</x:v>
      </x:c>
    </x:row>
    <x:row r="5" ht="53" customHeight="1">
      <x:c r="A5" s="24" t="str">
        <x:v>TAF-3</x:v>
      </x:c>
      <x:c r="B5" s="24" t="str">
        <x:v>Extra-Q tafsir premise</x:v>
      </x:c>
      <x:c r="C5" s="24" t="str">
        <x:v>Specific event date, named audience, or legal restriction externally supplied.</x:v>
      </x:c>
      <x:c r="D5" s="24" t="str">
        <x:v>Imported claim</x:v>
      </x:c>
    </x:row>
    <x:row r="6" ht="53" customHeight="1">
      <x:c r="A6" s="24" t="str">
        <x:v>HYP-4</x:v>
      </x:c>
      <x:c r="B6" s="24" t="str">
        <x:v>Novel rescue premise</x:v>
      </x:c>
      <x:c r="C6" s="24" t="str">
        <x:v>Undocumented stage schedule / hypothetical history invented for consistency.</x:v>
      </x:c>
      <x:c r="D6" s="24" t="str">
        <x:v>Unsupported</x:v>
      </x:c>
    </x:row>
    <x:row r="7" ht="53" customHeight="1">
      <x:c r="A7" s="24" t="str">
        <x:v>OPEN</x:v>
      </x:c>
      <x:c r="B7" s="24" t="str">
        <x:v>Meaning undecided</x:v>
      </x:c>
      <x:c r="C7" s="24" t="str">
        <x:v>Multiple coherent models remain; avoid treating either as established.</x:v>
      </x:c>
      <x:c r="D7" s="24" t="str">
        <x:v>Status</x:v>
      </x:c>
    </x:row>
  </x:sheetData>
  <x:pageMargins left="0.7" right="0.7" top="0.75" bottom="0.75" header="0.3" footer="0.3"/>
</x:worksheet>
</file>